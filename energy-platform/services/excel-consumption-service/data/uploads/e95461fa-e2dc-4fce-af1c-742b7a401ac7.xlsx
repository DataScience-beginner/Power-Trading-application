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70 KTPA PASTE PVC\NEFA Power\"/>
    </mc:Choice>
  </mc:AlternateContent>
  <xr:revisionPtr revIDLastSave="0" documentId="13_ncr:1_{2E9E1E4E-33DF-425C-8F95-5B1BBBB255D1}" xr6:coauthVersionLast="47" xr6:coauthVersionMax="47" xr10:uidLastSave="{00000000-0000-0000-0000-000000000000}"/>
  <bookViews>
    <workbookView xWindow="-120" yWindow="-120" windowWidth="24240" windowHeight="13020" xr2:uid="{13E50D46-9937-4F90-B797-A7B6A83CA7A8}"/>
  </bookViews>
  <sheets>
    <sheet name="Solar Working" sheetId="1" r:id="rId1"/>
    <sheet name="DAM" sheetId="2" r:id="rId2"/>
    <sheet name="RTM" sheetId="4" r:id="rId3"/>
    <sheet name="TNEB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4" i="3" l="1"/>
  <c r="R34" i="3"/>
  <c r="L34" i="3"/>
  <c r="I34" i="3"/>
  <c r="F34" i="3"/>
  <c r="C34" i="3"/>
  <c r="U32" i="3"/>
  <c r="R32" i="3"/>
  <c r="L32" i="3"/>
  <c r="I32" i="3"/>
  <c r="F32" i="3"/>
  <c r="C32" i="3"/>
  <c r="U30" i="3"/>
  <c r="R30" i="3"/>
  <c r="L30" i="3"/>
  <c r="I30" i="3"/>
  <c r="F30" i="3"/>
  <c r="C30" i="3"/>
  <c r="U27" i="3"/>
  <c r="R27" i="3"/>
  <c r="L27" i="3"/>
  <c r="I27" i="3"/>
  <c r="F27" i="3"/>
  <c r="C27" i="3"/>
  <c r="U24" i="3"/>
  <c r="R24" i="3"/>
  <c r="L24" i="3"/>
  <c r="I24" i="3"/>
  <c r="F24" i="3"/>
  <c r="C24" i="3"/>
  <c r="U22" i="3"/>
  <c r="R22" i="3"/>
  <c r="L22" i="3"/>
  <c r="I22" i="3"/>
  <c r="F22" i="3"/>
  <c r="C22" i="3"/>
  <c r="U20" i="3"/>
  <c r="R20" i="3"/>
  <c r="L20" i="3"/>
  <c r="I20" i="3"/>
  <c r="F20" i="3"/>
  <c r="C20" i="3"/>
  <c r="U15" i="3"/>
  <c r="R15" i="3"/>
  <c r="L15" i="3"/>
  <c r="I15" i="3"/>
  <c r="F15" i="3"/>
  <c r="C15" i="3"/>
  <c r="P35" i="1"/>
  <c r="P52" i="1" s="1"/>
  <c r="N35" i="1"/>
  <c r="N52" i="1" s="1"/>
  <c r="AG102" i="2"/>
  <c r="U42" i="3"/>
  <c r="U43" i="3"/>
  <c r="R42" i="3"/>
  <c r="R43" i="3"/>
  <c r="O42" i="3"/>
  <c r="P42" i="3"/>
  <c r="O43" i="3"/>
  <c r="P43" i="3"/>
  <c r="L42" i="3"/>
  <c r="L43" i="3"/>
  <c r="I42" i="3"/>
  <c r="I43" i="3"/>
  <c r="F42" i="3"/>
  <c r="F43" i="3"/>
  <c r="C42" i="3"/>
  <c r="C43" i="3"/>
  <c r="U39" i="3"/>
  <c r="R39" i="3"/>
  <c r="L39" i="3"/>
  <c r="I39" i="3"/>
  <c r="F39" i="3"/>
  <c r="C39" i="3"/>
  <c r="P55" i="1" l="1"/>
  <c r="R28" i="1"/>
  <c r="R29" i="1"/>
  <c r="R30" i="1"/>
  <c r="U37" i="3"/>
  <c r="R37" i="3"/>
  <c r="L37" i="3"/>
  <c r="I37" i="3"/>
  <c r="F37" i="3"/>
  <c r="C37" i="3"/>
  <c r="U31" i="3"/>
  <c r="R31" i="3"/>
  <c r="L31" i="3"/>
  <c r="I31" i="3"/>
  <c r="F31" i="3"/>
  <c r="C31" i="3"/>
  <c r="U25" i="3"/>
  <c r="R25" i="3"/>
  <c r="L25" i="3"/>
  <c r="I25" i="3"/>
  <c r="F25" i="3"/>
  <c r="C25" i="3"/>
  <c r="U21" i="3"/>
  <c r="R21" i="3"/>
  <c r="L21" i="3"/>
  <c r="I21" i="3"/>
  <c r="F21" i="3"/>
  <c r="C21" i="3"/>
  <c r="U19" i="3"/>
  <c r="R19" i="3"/>
  <c r="L19" i="3"/>
  <c r="I19" i="3"/>
  <c r="F19" i="3"/>
  <c r="C19" i="3"/>
  <c r="R34" i="1"/>
  <c r="F34" i="1"/>
  <c r="E34" i="1"/>
  <c r="D34" i="1"/>
  <c r="C34" i="1"/>
  <c r="U12" i="3"/>
  <c r="R12" i="3"/>
  <c r="L12" i="3"/>
  <c r="I12" i="3"/>
  <c r="F12" i="3"/>
  <c r="C12" i="3"/>
  <c r="U40" i="3"/>
  <c r="U41" i="3"/>
  <c r="R40" i="3"/>
  <c r="R41" i="3"/>
  <c r="O40" i="3"/>
  <c r="P40" i="3"/>
  <c r="O41" i="3"/>
  <c r="P41" i="3"/>
  <c r="L40" i="3"/>
  <c r="L41" i="3"/>
  <c r="I40" i="3"/>
  <c r="I41" i="3"/>
  <c r="F40" i="3"/>
  <c r="F41" i="3"/>
  <c r="C40" i="3"/>
  <c r="C41" i="3"/>
  <c r="R33" i="1"/>
  <c r="R32" i="1"/>
  <c r="R31" i="1"/>
  <c r="R27" i="1"/>
  <c r="U38" i="3"/>
  <c r="R38" i="3"/>
  <c r="O36" i="3"/>
  <c r="P36" i="3" s="1"/>
  <c r="P37" i="3" s="1"/>
  <c r="P38" i="3" s="1"/>
  <c r="P39" i="3" s="1"/>
  <c r="O37" i="3"/>
  <c r="O38" i="3"/>
  <c r="O39" i="3"/>
  <c r="L38" i="3"/>
  <c r="I38" i="3"/>
  <c r="F38" i="3"/>
  <c r="C38" i="3"/>
  <c r="R25" i="1"/>
  <c r="R26" i="1"/>
  <c r="U35" i="3"/>
  <c r="R35" i="3"/>
  <c r="O34" i="3"/>
  <c r="P34" i="3"/>
  <c r="O35" i="3"/>
  <c r="P35" i="3"/>
  <c r="L35" i="3"/>
  <c r="I35" i="3"/>
  <c r="F35" i="3"/>
  <c r="C35" i="3"/>
  <c r="R24" i="1"/>
  <c r="U33" i="3"/>
  <c r="R33" i="3"/>
  <c r="O33" i="3"/>
  <c r="P33" i="3" s="1"/>
  <c r="L33" i="3"/>
  <c r="I33" i="3"/>
  <c r="F33" i="3"/>
  <c r="C33" i="3"/>
  <c r="R23" i="1"/>
  <c r="O32" i="3"/>
  <c r="P32" i="3"/>
  <c r="R20" i="1"/>
  <c r="R21" i="1"/>
  <c r="R22" i="1"/>
  <c r="U29" i="3"/>
  <c r="R29" i="3"/>
  <c r="O29" i="3"/>
  <c r="P29" i="3" s="1"/>
  <c r="P30" i="3" s="1"/>
  <c r="P31" i="3" s="1"/>
  <c r="O30" i="3"/>
  <c r="O31" i="3"/>
  <c r="L29" i="3"/>
  <c r="I29" i="3"/>
  <c r="F29" i="3"/>
  <c r="C29" i="3"/>
  <c r="R18" i="1"/>
  <c r="R19" i="1"/>
  <c r="U28" i="3"/>
  <c r="R28" i="3"/>
  <c r="O27" i="3"/>
  <c r="P27" i="3" s="1"/>
  <c r="P28" i="3" s="1"/>
  <c r="O28" i="3"/>
  <c r="L28" i="3"/>
  <c r="I28" i="3"/>
  <c r="F28" i="3"/>
  <c r="C28" i="3"/>
  <c r="R17" i="1"/>
  <c r="R16" i="1"/>
  <c r="R15" i="1"/>
  <c r="R14" i="1"/>
  <c r="C23" i="3"/>
  <c r="F23" i="3"/>
  <c r="I23" i="3"/>
  <c r="L23" i="3"/>
  <c r="O23" i="3"/>
  <c r="P23" i="3"/>
  <c r="P24" i="3" s="1"/>
  <c r="P25" i="3" s="1"/>
  <c r="P26" i="3" s="1"/>
  <c r="R23" i="3"/>
  <c r="U23" i="3"/>
  <c r="O24" i="3"/>
  <c r="O25" i="3"/>
  <c r="C26" i="3"/>
  <c r="F26" i="3"/>
  <c r="I26" i="3"/>
  <c r="L26" i="3"/>
  <c r="O26" i="3"/>
  <c r="R26" i="3"/>
  <c r="U26" i="3"/>
  <c r="G34" i="1" l="1"/>
  <c r="O22" i="3"/>
  <c r="P22" i="3" s="1"/>
  <c r="F16" i="3"/>
  <c r="F17" i="3"/>
  <c r="F18" i="3"/>
  <c r="C14" i="3"/>
  <c r="C16" i="3"/>
  <c r="C17" i="3"/>
  <c r="C18" i="3"/>
  <c r="R44" i="1" l="1"/>
  <c r="U14" i="3"/>
  <c r="U16" i="3"/>
  <c r="U17" i="3"/>
  <c r="U18" i="3"/>
  <c r="U13" i="3"/>
  <c r="R14" i="3"/>
  <c r="R16" i="3"/>
  <c r="R17" i="3"/>
  <c r="R18" i="3"/>
  <c r="R13" i="3"/>
  <c r="O13" i="3"/>
  <c r="O14" i="3"/>
  <c r="O15" i="3"/>
  <c r="O16" i="3"/>
  <c r="O17" i="3"/>
  <c r="O18" i="3"/>
  <c r="O19" i="3"/>
  <c r="O20" i="3"/>
  <c r="O21" i="3"/>
  <c r="O12" i="3"/>
  <c r="L14" i="3"/>
  <c r="L16" i="3"/>
  <c r="L17" i="3"/>
  <c r="L18" i="3"/>
  <c r="L13" i="3"/>
  <c r="I14" i="3"/>
  <c r="I16" i="3"/>
  <c r="I17" i="3"/>
  <c r="I18" i="3"/>
  <c r="I13" i="3"/>
  <c r="F14" i="3"/>
  <c r="F13" i="3"/>
  <c r="C13" i="3"/>
  <c r="R10" i="1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E7" i="1"/>
  <c r="E8" i="1"/>
  <c r="E9" i="1"/>
  <c r="C7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4" i="1"/>
  <c r="D4" i="1"/>
  <c r="E5" i="1"/>
  <c r="E6" i="1"/>
  <c r="E4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5" i="1"/>
  <c r="C6" i="1"/>
  <c r="C4" i="1"/>
  <c r="G33" i="1" l="1"/>
  <c r="G31" i="1"/>
  <c r="G32" i="1"/>
  <c r="G10" i="1"/>
  <c r="G9" i="1"/>
  <c r="G7" i="1"/>
  <c r="G28" i="1"/>
  <c r="G27" i="1"/>
  <c r="G26" i="1"/>
  <c r="G22" i="1"/>
  <c r="G6" i="1"/>
  <c r="G5" i="1"/>
  <c r="G14" i="1"/>
  <c r="G13" i="1"/>
  <c r="G30" i="1"/>
  <c r="G8" i="1"/>
  <c r="G24" i="1"/>
  <c r="G20" i="1"/>
  <c r="G17" i="1"/>
  <c r="G15" i="1"/>
  <c r="G12" i="1"/>
  <c r="G11" i="1"/>
  <c r="G29" i="1"/>
  <c r="G25" i="1"/>
  <c r="G23" i="1"/>
  <c r="G21" i="1"/>
  <c r="G19" i="1"/>
  <c r="G18" i="1"/>
  <c r="G16" i="1"/>
  <c r="G4" i="1"/>
  <c r="V12" i="3"/>
  <c r="S12" i="3"/>
  <c r="P12" i="3"/>
  <c r="M12" i="3"/>
  <c r="J12" i="3"/>
  <c r="G12" i="3"/>
  <c r="D12" i="3"/>
  <c r="A8" i="3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F100" i="4"/>
  <c r="AE100" i="4"/>
  <c r="AE106" i="4" s="1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P106" i="4" s="1"/>
  <c r="O100" i="4"/>
  <c r="O106" i="4" s="1"/>
  <c r="N100" i="4"/>
  <c r="M100" i="4"/>
  <c r="L100" i="4"/>
  <c r="K100" i="4"/>
  <c r="K106" i="4" s="1"/>
  <c r="J100" i="4"/>
  <c r="I100" i="4"/>
  <c r="H100" i="4"/>
  <c r="G100" i="4"/>
  <c r="F100" i="4"/>
  <c r="E100" i="4"/>
  <c r="D100" i="4"/>
  <c r="C100" i="4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F104" i="2"/>
  <c r="K34" i="1" s="1" a="1"/>
  <c r="K34" i="1" s="1"/>
  <c r="AE104" i="2"/>
  <c r="K33" i="1" s="1" a="1"/>
  <c r="K33" i="1" s="1"/>
  <c r="AD104" i="2"/>
  <c r="K32" i="1" s="1" a="1"/>
  <c r="K32" i="1" s="1"/>
  <c r="AC104" i="2"/>
  <c r="K31" i="1" s="1" a="1"/>
  <c r="K31" i="1" s="1"/>
  <c r="AB104" i="2"/>
  <c r="K30" i="1" s="1" a="1"/>
  <c r="K30" i="1" s="1"/>
  <c r="AA104" i="2"/>
  <c r="K29" i="1" s="1" a="1"/>
  <c r="K29" i="1" s="1"/>
  <c r="Z104" i="2"/>
  <c r="K28" i="1" s="1" a="1"/>
  <c r="K28" i="1" s="1"/>
  <c r="Y104" i="2"/>
  <c r="K27" i="1" s="1" a="1"/>
  <c r="K27" i="1" s="1"/>
  <c r="X104" i="2"/>
  <c r="K26" i="1" s="1" a="1"/>
  <c r="K26" i="1" s="1"/>
  <c r="W104" i="2"/>
  <c r="K25" i="1" s="1" a="1"/>
  <c r="K25" i="1" s="1"/>
  <c r="V104" i="2"/>
  <c r="K24" i="1" s="1" a="1"/>
  <c r="K24" i="1" s="1"/>
  <c r="U104" i="2"/>
  <c r="T104" i="2"/>
  <c r="K22" i="1" s="1" a="1"/>
  <c r="K22" i="1" s="1"/>
  <c r="S104" i="2"/>
  <c r="K21" i="1" s="1" a="1"/>
  <c r="K21" i="1" s="1"/>
  <c r="R104" i="2"/>
  <c r="K20" i="1" s="1" a="1"/>
  <c r="K20" i="1" s="1"/>
  <c r="Q104" i="2"/>
  <c r="K19" i="1" s="1" a="1"/>
  <c r="K19" i="1" s="1"/>
  <c r="P104" i="2"/>
  <c r="K18" i="1" s="1" a="1"/>
  <c r="K18" i="1" s="1"/>
  <c r="O104" i="2"/>
  <c r="K17" i="1" s="1" a="1"/>
  <c r="K17" i="1" s="1"/>
  <c r="N104" i="2"/>
  <c r="K16" i="1" s="1" a="1"/>
  <c r="K16" i="1" s="1"/>
  <c r="M104" i="2"/>
  <c r="K15" i="1" s="1" a="1"/>
  <c r="K15" i="1" s="1"/>
  <c r="L104" i="2"/>
  <c r="K14" i="1" s="1" a="1"/>
  <c r="K14" i="1" s="1"/>
  <c r="K104" i="2"/>
  <c r="K13" i="1" s="1" a="1"/>
  <c r="K13" i="1" s="1"/>
  <c r="J104" i="2"/>
  <c r="K12" i="1" s="1" a="1"/>
  <c r="K12" i="1" s="1"/>
  <c r="I104" i="2"/>
  <c r="K11" i="1" s="1" a="1"/>
  <c r="K11" i="1" s="1"/>
  <c r="H104" i="2"/>
  <c r="K10" i="1" s="1" a="1"/>
  <c r="K10" i="1" s="1"/>
  <c r="G104" i="2"/>
  <c r="K9" i="1" s="1" a="1"/>
  <c r="K9" i="1" s="1"/>
  <c r="F104" i="2"/>
  <c r="K8" i="1" s="1" a="1"/>
  <c r="K8" i="1" s="1"/>
  <c r="E104" i="2"/>
  <c r="K7" i="1" s="1" a="1"/>
  <c r="K7" i="1" s="1"/>
  <c r="D104" i="2"/>
  <c r="K6" i="1" s="1" a="1"/>
  <c r="K6" i="1" s="1"/>
  <c r="C104" i="2"/>
  <c r="K5" i="1" s="1" a="1"/>
  <c r="K5" i="1" s="1"/>
  <c r="B104" i="2"/>
  <c r="K4" i="1" s="1" a="1"/>
  <c r="K4" i="1" s="1"/>
  <c r="AF103" i="2"/>
  <c r="J34" i="1" s="1" a="1"/>
  <c r="J34" i="1" s="1"/>
  <c r="AE103" i="2"/>
  <c r="J33" i="1" s="1" a="1"/>
  <c r="J33" i="1" s="1"/>
  <c r="AD103" i="2"/>
  <c r="AC103" i="2"/>
  <c r="J31" i="1" s="1" a="1"/>
  <c r="J31" i="1" s="1"/>
  <c r="AB103" i="2"/>
  <c r="J30" i="1" s="1" a="1"/>
  <c r="J30" i="1" s="1"/>
  <c r="AA103" i="2"/>
  <c r="J29" i="1" s="1" a="1"/>
  <c r="J29" i="1" s="1"/>
  <c r="Z103" i="2"/>
  <c r="J28" i="1" s="1" a="1"/>
  <c r="J28" i="1" s="1"/>
  <c r="Y103" i="2"/>
  <c r="J27" i="1" s="1" a="1"/>
  <c r="J27" i="1" s="1"/>
  <c r="X103" i="2"/>
  <c r="J26" i="1" s="1" a="1"/>
  <c r="J26" i="1" s="1"/>
  <c r="W103" i="2"/>
  <c r="J25" i="1" s="1" a="1"/>
  <c r="J25" i="1" s="1"/>
  <c r="V103" i="2"/>
  <c r="J24" i="1" s="1" a="1"/>
  <c r="J24" i="1" s="1"/>
  <c r="U103" i="2"/>
  <c r="T103" i="2"/>
  <c r="J22" i="1" s="1" a="1"/>
  <c r="J22" i="1" s="1"/>
  <c r="S103" i="2"/>
  <c r="J21" i="1" s="1" a="1"/>
  <c r="J21" i="1" s="1"/>
  <c r="R103" i="2"/>
  <c r="Q103" i="2"/>
  <c r="J19" i="1" s="1" a="1"/>
  <c r="J19" i="1" s="1"/>
  <c r="P103" i="2"/>
  <c r="J18" i="1" s="1" a="1"/>
  <c r="J18" i="1" s="1"/>
  <c r="O103" i="2"/>
  <c r="J17" i="1" s="1" a="1"/>
  <c r="J17" i="1" s="1"/>
  <c r="N103" i="2"/>
  <c r="J16" i="1" s="1" a="1"/>
  <c r="J16" i="1" s="1"/>
  <c r="M103" i="2"/>
  <c r="L103" i="2"/>
  <c r="J14" i="1" s="1" a="1"/>
  <c r="J14" i="1" s="1"/>
  <c r="K103" i="2"/>
  <c r="J13" i="1" s="1" a="1"/>
  <c r="J13" i="1" s="1"/>
  <c r="J103" i="2"/>
  <c r="I103" i="2"/>
  <c r="H103" i="2"/>
  <c r="G103" i="2"/>
  <c r="F103" i="2"/>
  <c r="J8" i="1" s="1" a="1"/>
  <c r="J8" i="1" s="1"/>
  <c r="E103" i="2"/>
  <c r="J7" i="1" s="1" a="1"/>
  <c r="J7" i="1" s="1"/>
  <c r="D103" i="2"/>
  <c r="C103" i="2"/>
  <c r="J5" i="1" s="1" a="1"/>
  <c r="J5" i="1" s="1"/>
  <c r="B103" i="2"/>
  <c r="J4" i="1" s="1" a="1"/>
  <c r="J4" i="1" s="1"/>
  <c r="AF101" i="2"/>
  <c r="I34" i="1" s="1" a="1"/>
  <c r="I34" i="1" s="1"/>
  <c r="AE101" i="2"/>
  <c r="I33" i="1" s="1" a="1"/>
  <c r="I33" i="1" s="1"/>
  <c r="AD101" i="2"/>
  <c r="AC101" i="2"/>
  <c r="I31" i="1" s="1" a="1"/>
  <c r="I31" i="1" s="1"/>
  <c r="AB101" i="2"/>
  <c r="I30" i="1" s="1" a="1"/>
  <c r="I30" i="1" s="1"/>
  <c r="AA101" i="2"/>
  <c r="I29" i="1" s="1" a="1"/>
  <c r="I29" i="1" s="1"/>
  <c r="Z101" i="2"/>
  <c r="I28" i="1" s="1" a="1"/>
  <c r="I28" i="1" s="1"/>
  <c r="Y101" i="2"/>
  <c r="I27" i="1" s="1" a="1"/>
  <c r="I27" i="1" s="1"/>
  <c r="X101" i="2"/>
  <c r="I26" i="1" s="1" a="1"/>
  <c r="I26" i="1" s="1"/>
  <c r="W101" i="2"/>
  <c r="I25" i="1" s="1" a="1"/>
  <c r="I25" i="1" s="1"/>
  <c r="V101" i="2"/>
  <c r="U101" i="2"/>
  <c r="T101" i="2"/>
  <c r="I22" i="1" s="1" a="1"/>
  <c r="I22" i="1" s="1"/>
  <c r="S101" i="2"/>
  <c r="I21" i="1" s="1" a="1"/>
  <c r="I21" i="1" s="1"/>
  <c r="R101" i="2"/>
  <c r="Q101" i="2"/>
  <c r="I19" i="1" s="1" a="1"/>
  <c r="I19" i="1" s="1"/>
  <c r="P101" i="2"/>
  <c r="I18" i="1" s="1" a="1"/>
  <c r="I18" i="1" s="1"/>
  <c r="O101" i="2"/>
  <c r="I17" i="1" s="1" a="1"/>
  <c r="I17" i="1" s="1"/>
  <c r="N101" i="2"/>
  <c r="I16" i="1" s="1" a="1"/>
  <c r="I16" i="1" s="1"/>
  <c r="M101" i="2"/>
  <c r="L101" i="2"/>
  <c r="I14" i="1" s="1" a="1"/>
  <c r="I14" i="1" s="1"/>
  <c r="K101" i="2"/>
  <c r="J101" i="2"/>
  <c r="I12" i="1" s="1" a="1"/>
  <c r="I12" i="1" s="1"/>
  <c r="I101" i="2"/>
  <c r="H101" i="2"/>
  <c r="I10" i="1" s="1" a="1"/>
  <c r="I10" i="1" s="1"/>
  <c r="G101" i="2"/>
  <c r="I9" i="1" s="1" a="1"/>
  <c r="I9" i="1" s="1"/>
  <c r="F101" i="2"/>
  <c r="E101" i="2"/>
  <c r="D101" i="2"/>
  <c r="C101" i="2"/>
  <c r="I5" i="1" s="1" a="1"/>
  <c r="I5" i="1" s="1"/>
  <c r="B101" i="2"/>
  <c r="AF100" i="2"/>
  <c r="H34" i="1" s="1" a="1"/>
  <c r="H34" i="1" s="1"/>
  <c r="AE100" i="2"/>
  <c r="H33" i="1" s="1" a="1"/>
  <c r="H33" i="1" s="1"/>
  <c r="AD100" i="2"/>
  <c r="AC100" i="2"/>
  <c r="H31" i="1" s="1" a="1"/>
  <c r="H31" i="1" s="1"/>
  <c r="AB100" i="2"/>
  <c r="H30" i="1" s="1" a="1"/>
  <c r="H30" i="1" s="1"/>
  <c r="AA100" i="2"/>
  <c r="H29" i="1" s="1" a="1"/>
  <c r="H29" i="1" s="1"/>
  <c r="Z100" i="2"/>
  <c r="H28" i="1" s="1" a="1"/>
  <c r="H28" i="1" s="1"/>
  <c r="Y100" i="2"/>
  <c r="H27" i="1" s="1" a="1"/>
  <c r="H27" i="1" s="1"/>
  <c r="X100" i="2"/>
  <c r="W100" i="2"/>
  <c r="V100" i="2"/>
  <c r="U100" i="2"/>
  <c r="T100" i="2"/>
  <c r="H22" i="1" s="1" a="1"/>
  <c r="H22" i="1" s="1"/>
  <c r="S100" i="2"/>
  <c r="R100" i="2"/>
  <c r="Q100" i="2"/>
  <c r="H19" i="1" s="1" a="1"/>
  <c r="H19" i="1" s="1"/>
  <c r="P100" i="2"/>
  <c r="O100" i="2"/>
  <c r="H17" i="1" s="1" a="1"/>
  <c r="H17" i="1" s="1"/>
  <c r="N100" i="2"/>
  <c r="H16" i="1" s="1" a="1"/>
  <c r="H16" i="1" s="1"/>
  <c r="M100" i="2"/>
  <c r="L100" i="2"/>
  <c r="H14" i="1" s="1" a="1"/>
  <c r="H14" i="1" s="1"/>
  <c r="K100" i="2"/>
  <c r="J100" i="2"/>
  <c r="I100" i="2"/>
  <c r="H100" i="2"/>
  <c r="G100" i="2"/>
  <c r="F100" i="2"/>
  <c r="E100" i="2"/>
  <c r="D100" i="2"/>
  <c r="C100" i="2"/>
  <c r="H5" i="1" s="1" a="1"/>
  <c r="H5" i="1" s="1"/>
  <c r="B100" i="2"/>
  <c r="H4" i="1" s="1" a="1"/>
  <c r="H4" i="1" s="1"/>
  <c r="R13" i="1"/>
  <c r="R12" i="1"/>
  <c r="R11" i="1"/>
  <c r="R9" i="1"/>
  <c r="R8" i="1"/>
  <c r="R7" i="1"/>
  <c r="R6" i="1"/>
  <c r="R5" i="1"/>
  <c r="R4" i="1"/>
  <c r="H25" i="1" l="1" a="1"/>
  <c r="H25" i="1" s="1"/>
  <c r="H26" i="1" a="1"/>
  <c r="H26" i="1" s="1"/>
  <c r="H24" i="1" a="1"/>
  <c r="H24" i="1" s="1"/>
  <c r="I24" i="1" a="1"/>
  <c r="I24" i="1" s="1"/>
  <c r="L24" i="1" s="1"/>
  <c r="S24" i="1" s="1"/>
  <c r="L34" i="1"/>
  <c r="S34" i="1" s="1"/>
  <c r="R35" i="1"/>
  <c r="S51" i="1" s="1"/>
  <c r="P57" i="1" s="1"/>
  <c r="H6" i="1" a="1"/>
  <c r="H6" i="1" s="1"/>
  <c r="J6" i="1" a="1"/>
  <c r="J6" i="1" s="1"/>
  <c r="I6" i="1" a="1"/>
  <c r="I6" i="1" s="1"/>
  <c r="AG105" i="2"/>
  <c r="G35" i="1"/>
  <c r="H23" i="1" a="1"/>
  <c r="H23" i="1" s="1"/>
  <c r="AG100" i="2"/>
  <c r="J23" i="1" a="1"/>
  <c r="J23" i="1" s="1"/>
  <c r="AG103" i="2"/>
  <c r="I23" i="1" a="1"/>
  <c r="I23" i="1" s="1"/>
  <c r="AG101" i="2"/>
  <c r="K23" i="1" a="1"/>
  <c r="K23" i="1" s="1"/>
  <c r="AG104" i="2"/>
  <c r="L30" i="1"/>
  <c r="S30" i="1" s="1"/>
  <c r="L29" i="1"/>
  <c r="S29" i="1" s="1"/>
  <c r="L28" i="1"/>
  <c r="S28" i="1" s="1"/>
  <c r="L27" i="1"/>
  <c r="M27" i="1" s="1"/>
  <c r="T27" i="1" s="1"/>
  <c r="L31" i="1"/>
  <c r="J32" i="1" a="1"/>
  <c r="J32" i="1" s="1"/>
  <c r="J15" i="1" a="1"/>
  <c r="J15" i="1" s="1"/>
  <c r="J11" i="1" a="1"/>
  <c r="J11" i="1" s="1"/>
  <c r="I32" i="1" a="1"/>
  <c r="I32" i="1" s="1"/>
  <c r="I20" i="1" a="1"/>
  <c r="I20" i="1" s="1"/>
  <c r="H11" i="1" a="1"/>
  <c r="H11" i="1" s="1"/>
  <c r="H20" i="1" a="1"/>
  <c r="H20" i="1" s="1"/>
  <c r="H15" i="1" a="1"/>
  <c r="H15" i="1" s="1"/>
  <c r="AA106" i="2"/>
  <c r="H32" i="1" a="1"/>
  <c r="H32" i="1" s="1"/>
  <c r="L33" i="1"/>
  <c r="S33" i="1" s="1"/>
  <c r="L26" i="1"/>
  <c r="L25" i="1"/>
  <c r="S25" i="1" s="1"/>
  <c r="L22" i="1"/>
  <c r="R106" i="4"/>
  <c r="J20" i="1" a="1"/>
  <c r="J20" i="1" s="1"/>
  <c r="L19" i="1"/>
  <c r="S19" i="1" s="1"/>
  <c r="L17" i="1"/>
  <c r="S106" i="2"/>
  <c r="H21" i="1" a="1"/>
  <c r="H21" i="1" s="1"/>
  <c r="L21" i="1" s="1"/>
  <c r="S21" i="1" s="1"/>
  <c r="L14" i="1"/>
  <c r="L16" i="1"/>
  <c r="S16" i="1" s="1"/>
  <c r="P106" i="2"/>
  <c r="H18" i="1" a="1"/>
  <c r="H18" i="1" s="1"/>
  <c r="L18" i="1" s="1"/>
  <c r="S18" i="1" s="1"/>
  <c r="I15" i="1" a="1"/>
  <c r="I15" i="1" s="1"/>
  <c r="H13" i="1" a="1"/>
  <c r="H13" i="1" s="1"/>
  <c r="I13" i="1" a="1"/>
  <c r="I13" i="1" s="1"/>
  <c r="H7" i="1" a="1"/>
  <c r="H7" i="1" s="1"/>
  <c r="H9" i="1" a="1"/>
  <c r="H9" i="1" s="1"/>
  <c r="H10" i="1" a="1"/>
  <c r="H10" i="1" s="1"/>
  <c r="I4" i="1" a="1"/>
  <c r="I4" i="1" s="1"/>
  <c r="J9" i="1" a="1"/>
  <c r="J9" i="1" s="1"/>
  <c r="L5" i="1"/>
  <c r="S5" i="1" s="1"/>
  <c r="H8" i="1" a="1"/>
  <c r="H8" i="1" s="1"/>
  <c r="J10" i="1" a="1"/>
  <c r="J10" i="1" s="1"/>
  <c r="I7" i="1" a="1"/>
  <c r="I7" i="1" s="1"/>
  <c r="I8" i="1" a="1"/>
  <c r="I8" i="1" s="1"/>
  <c r="I11" i="1" a="1"/>
  <c r="I11" i="1" s="1"/>
  <c r="J12" i="1" a="1"/>
  <c r="J12" i="1" s="1"/>
  <c r="H12" i="1" a="1"/>
  <c r="H12" i="1" s="1"/>
  <c r="G106" i="2"/>
  <c r="V8" i="3"/>
  <c r="D6" i="3"/>
  <c r="D7" i="3" s="1"/>
  <c r="D13" i="3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J8" i="3"/>
  <c r="M8" i="3"/>
  <c r="P8" i="3"/>
  <c r="S8" i="3"/>
  <c r="G13" i="3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J13" i="3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M13" i="3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P13" i="3"/>
  <c r="P14" i="3" s="1"/>
  <c r="P15" i="3" s="1"/>
  <c r="P16" i="3" s="1"/>
  <c r="P17" i="3" s="1"/>
  <c r="P18" i="3" s="1"/>
  <c r="P19" i="3" s="1"/>
  <c r="P20" i="3" s="1"/>
  <c r="P21" i="3" s="1"/>
  <c r="S13" i="3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V13" i="3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J6" i="3"/>
  <c r="J7" i="3" s="1"/>
  <c r="M6" i="3"/>
  <c r="M7" i="3" s="1"/>
  <c r="P6" i="3"/>
  <c r="P7" i="3" s="1"/>
  <c r="S6" i="3"/>
  <c r="S7" i="3" s="1"/>
  <c r="V6" i="3"/>
  <c r="V7" i="3" s="1"/>
  <c r="D8" i="3"/>
  <c r="U106" i="4"/>
  <c r="S106" i="4"/>
  <c r="B106" i="4"/>
  <c r="V106" i="4"/>
  <c r="T106" i="4"/>
  <c r="L106" i="4"/>
  <c r="AF106" i="4"/>
  <c r="D106" i="4"/>
  <c r="X106" i="4"/>
  <c r="M106" i="4"/>
  <c r="E106" i="4"/>
  <c r="Y106" i="4"/>
  <c r="N106" i="4"/>
  <c r="C106" i="4"/>
  <c r="W106" i="4"/>
  <c r="F106" i="4"/>
  <c r="G106" i="4"/>
  <c r="AA106" i="4"/>
  <c r="H106" i="4"/>
  <c r="AB106" i="4"/>
  <c r="Q106" i="4"/>
  <c r="Z106" i="4"/>
  <c r="I106" i="4"/>
  <c r="AC106" i="4"/>
  <c r="J106" i="4"/>
  <c r="AD106" i="4"/>
  <c r="U106" i="2"/>
  <c r="C106" i="2"/>
  <c r="W106" i="2"/>
  <c r="X106" i="2"/>
  <c r="H106" i="2"/>
  <c r="AB106" i="2"/>
  <c r="Q106" i="2"/>
  <c r="F106" i="2"/>
  <c r="Z106" i="2"/>
  <c r="I106" i="2"/>
  <c r="R106" i="2"/>
  <c r="AC106" i="2"/>
  <c r="J106" i="2"/>
  <c r="AD106" i="2"/>
  <c r="L106" i="2"/>
  <c r="K106" i="2"/>
  <c r="AF106" i="2"/>
  <c r="N106" i="2"/>
  <c r="AE106" i="2"/>
  <c r="M106" i="2"/>
  <c r="V106" i="2"/>
  <c r="E106" i="2"/>
  <c r="Y106" i="2"/>
  <c r="T106" i="2"/>
  <c r="D106" i="2"/>
  <c r="O106" i="2"/>
  <c r="B106" i="2"/>
  <c r="L6" i="1" l="1"/>
  <c r="S6" i="1" s="1"/>
  <c r="M34" i="1"/>
  <c r="T34" i="1" s="1"/>
  <c r="L23" i="1"/>
  <c r="S23" i="1" s="1"/>
  <c r="AG106" i="2"/>
  <c r="M29" i="1"/>
  <c r="T29" i="1" s="1"/>
  <c r="M33" i="1"/>
  <c r="T33" i="1" s="1"/>
  <c r="M28" i="1"/>
  <c r="T28" i="1" s="1"/>
  <c r="M30" i="1"/>
  <c r="T30" i="1" s="1"/>
  <c r="S27" i="1"/>
  <c r="M31" i="1"/>
  <c r="T31" i="1" s="1"/>
  <c r="S31" i="1"/>
  <c r="L32" i="1"/>
  <c r="S32" i="1" s="1"/>
  <c r="L20" i="1"/>
  <c r="L15" i="1"/>
  <c r="L11" i="1"/>
  <c r="M26" i="1"/>
  <c r="T26" i="1" s="1"/>
  <c r="S26" i="1"/>
  <c r="M22" i="1"/>
  <c r="T22" i="1" s="1"/>
  <c r="S22" i="1"/>
  <c r="M17" i="1"/>
  <c r="T17" i="1" s="1"/>
  <c r="S17" i="1"/>
  <c r="M14" i="1"/>
  <c r="T14" i="1" s="1"/>
  <c r="S14" i="1"/>
  <c r="M25" i="1"/>
  <c r="T25" i="1" s="1"/>
  <c r="M24" i="1"/>
  <c r="T24" i="1" s="1"/>
  <c r="L4" i="1"/>
  <c r="L9" i="1"/>
  <c r="S9" i="1" s="1"/>
  <c r="M21" i="1"/>
  <c r="T21" i="1" s="1"/>
  <c r="M18" i="1"/>
  <c r="T18" i="1" s="1"/>
  <c r="M19" i="1"/>
  <c r="T19" i="1" s="1"/>
  <c r="L10" i="1"/>
  <c r="S10" i="1" s="1"/>
  <c r="M16" i="1"/>
  <c r="T16" i="1" s="1"/>
  <c r="L13" i="1"/>
  <c r="S13" i="1" s="1"/>
  <c r="M5" i="1"/>
  <c r="T5" i="1" s="1"/>
  <c r="L8" i="1"/>
  <c r="S8" i="1" s="1"/>
  <c r="L7" i="1"/>
  <c r="S7" i="1" s="1"/>
  <c r="L12" i="1"/>
  <c r="S12" i="1" s="1"/>
  <c r="M6" i="1" l="1"/>
  <c r="T6" i="1" s="1"/>
  <c r="M23" i="1"/>
  <c r="T23" i="1" s="1"/>
  <c r="L35" i="1"/>
  <c r="M32" i="1"/>
  <c r="T32" i="1" s="1"/>
  <c r="S20" i="1"/>
  <c r="M20" i="1"/>
  <c r="T20" i="1" s="1"/>
  <c r="S15" i="1"/>
  <c r="M15" i="1"/>
  <c r="T15" i="1" s="1"/>
  <c r="S11" i="1"/>
  <c r="M11" i="1"/>
  <c r="T11" i="1" s="1"/>
  <c r="M4" i="1"/>
  <c r="S4" i="1"/>
  <c r="M9" i="1"/>
  <c r="T9" i="1" s="1"/>
  <c r="M10" i="1"/>
  <c r="T10" i="1" s="1"/>
  <c r="M13" i="1"/>
  <c r="T13" i="1" s="1"/>
  <c r="M8" i="1"/>
  <c r="T8" i="1" s="1"/>
  <c r="M7" i="1"/>
  <c r="T7" i="1" s="1"/>
  <c r="M12" i="1"/>
  <c r="T12" i="1" s="1"/>
  <c r="S35" i="1" l="1" a="1"/>
  <c r="S35" i="1" s="1"/>
  <c r="T4" i="1"/>
  <c r="T35" i="1" s="1" a="1"/>
  <c r="T35" i="1" s="1"/>
  <c r="M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<sst xmlns="http://schemas.openxmlformats.org/spreadsheetml/2006/main" count="279" uniqueCount="125">
  <si>
    <t>Date</t>
  </si>
  <si>
    <t>C1</t>
  </si>
  <si>
    <t>C4</t>
  </si>
  <si>
    <t>Total</t>
  </si>
  <si>
    <t>C2</t>
  </si>
  <si>
    <t>C5</t>
  </si>
  <si>
    <t xml:space="preserve">Solar </t>
  </si>
  <si>
    <t>Balance in TNEB</t>
  </si>
  <si>
    <t>Portfolio</t>
  </si>
  <si>
    <t>Time Period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</si>
  <si>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</si>
  <si>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</si>
  <si>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</si>
  <si>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</si>
  <si>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</si>
  <si>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</si>
  <si>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</si>
  <si>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</si>
  <si>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</si>
  <si>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</si>
  <si>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</si>
  <si>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</si>
  <si>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</si>
  <si>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</si>
  <si>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</si>
  <si>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</si>
  <si>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</si>
  <si>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</si>
  <si>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</si>
  <si>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</si>
  <si>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</si>
  <si>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</si>
  <si>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</si>
  <si>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</si>
  <si>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</si>
  <si>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</si>
  <si>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</si>
  <si>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</si>
  <si>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</si>
  <si>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</si>
  <si>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</si>
  <si>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</si>
  <si>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</si>
  <si>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</si>
  <si>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</si>
  <si>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</si>
  <si>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</si>
  <si>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</si>
  <si>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</si>
  <si>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</si>
  <si>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</si>
  <si>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</si>
  <si>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</si>
  <si>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</si>
  <si>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</si>
  <si>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</si>
  <si>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</si>
  <si>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</si>
  <si>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</si>
  <si>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</si>
  <si>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</si>
  <si>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</si>
  <si>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</si>
  <si>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</si>
  <si>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</si>
  <si>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</si>
  <si>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</si>
  <si>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</si>
  <si>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</si>
  <si>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</si>
  <si>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</si>
  <si>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</si>
  <si>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</si>
  <si>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</si>
  <si>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</si>
  <si>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</si>
  <si>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</si>
  <si>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</si>
  <si>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</si>
  <si>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</si>
  <si>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</si>
  <si>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</si>
  <si>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</si>
  <si>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</si>
  <si>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</si>
  <si>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</si>
  <si>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</si>
  <si>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</si>
  <si>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</si>
  <si>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</si>
  <si>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</si>
  <si>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</si>
  <si>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</si>
  <si>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</si>
  <si>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</si>
  <si>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</si>
  <si>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</si>
  <si>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</si>
  <si>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</si>
  <si>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</si>
  <si>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</si>
  <si>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</si>
  <si>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</si>
  <si>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</si>
  <si>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</si>
  <si>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</si>
  <si>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C3</t>
  </si>
  <si>
    <t>C51</t>
  </si>
  <si>
    <t>C52</t>
  </si>
  <si>
    <t>C</t>
  </si>
  <si>
    <t>Cuddalore - 5</t>
  </si>
  <si>
    <t>TNEB - Daily Unit Consumption Log</t>
  </si>
  <si>
    <t>Total Hrs</t>
  </si>
  <si>
    <t>Todate</t>
  </si>
  <si>
    <t>Avg MW</t>
  </si>
  <si>
    <t>Today</t>
  </si>
  <si>
    <t>Kwh</t>
  </si>
  <si>
    <t>Kvah</t>
  </si>
  <si>
    <t xml:space="preserve">Banking Balance </t>
  </si>
  <si>
    <t>Total Cons - IEX</t>
  </si>
  <si>
    <t>Chemplast Sanmar Limited , Cuddalore</t>
  </si>
  <si>
    <t>TNEB Consumption Units CSL</t>
  </si>
  <si>
    <t>CSL  IEX After Losses</t>
  </si>
  <si>
    <t>Solar + IEX Units</t>
  </si>
  <si>
    <t>TNEB - Solar&amp;IEX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</si>
</sst>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0;\-&quot;-&quot;;;"/>
    <numFmt numFmtId="167" formatCode="#,##0.00;[Red]#,##0.00"/>
  </numFmts>
  <fonts count="17" x14ac:knownFonts="1">
    <font>
      <sz val="9"/>
      <color theme="1"/>
      <name val="Bookman Old Style"/>
      <family val="2"/>
    </font>
    <font>
      <sz val="11"/>
      <color theme="1"/>
      <name val="Calibri"/>
      <family val="2"/>
      <scheme val="minor"/>
    </font>
    <font>
      <sz val="9"/>
      <color theme="1"/>
      <name val="Bookman Old Style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60"/>
      <name val="Arial"/>
      <family val="2"/>
    </font>
    <font>
      <b/>
      <sz val="9"/>
      <color theme="8" tint="-0.499984740745262"/>
      <name val="Bookman Old Style"/>
      <family val="1"/>
    </font>
    <font>
      <sz val="9"/>
      <color theme="8" tint="-0.499984740745262"/>
      <name val="Bookman Old Style"/>
      <family val="1"/>
    </font>
    <font>
      <sz val="11"/>
      <color rgb="FF000000"/>
      <name val="Calibri"/>
      <family val="2"/>
    </font>
    <font>
      <b/>
      <sz val="9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13" fillId="0" borderId="0" applyBorder="0"/>
  </cellStyleXfs>
  <cellXfs count="79">
    <xf numFmtId="0" fontId="0" fillId="0" borderId="0" xfId="0"/>
    <xf numFmtId="0" fontId="0" fillId="0" borderId="0" xfId="0" applyAlignment="1">
      <alignment vertical="center"/>
    </xf>
    <xf numFmtId="164" fontId="0" fillId="0" borderId="0" xfId="1" applyFont="1"/>
    <xf numFmtId="2" fontId="3" fillId="0" borderId="5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1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" fontId="0" fillId="3" borderId="0" xfId="0" applyNumberFormat="1" applyFill="1"/>
    <xf numFmtId="0" fontId="5" fillId="0" borderId="0" xfId="0" applyFont="1"/>
    <xf numFmtId="0" fontId="0" fillId="0" borderId="0" xfId="0" applyAlignment="1">
      <alignment horizontal="right" vertical="center"/>
    </xf>
    <xf numFmtId="2" fontId="0" fillId="0" borderId="0" xfId="0" applyNumberFormat="1"/>
    <xf numFmtId="0" fontId="6" fillId="0" borderId="0" xfId="0" applyFont="1"/>
    <xf numFmtId="18" fontId="0" fillId="0" borderId="0" xfId="0" applyNumberFormat="1"/>
    <xf numFmtId="14" fontId="0" fillId="0" borderId="0" xfId="0" applyNumberFormat="1"/>
    <xf numFmtId="0" fontId="7" fillId="0" borderId="0" xfId="0" applyFont="1"/>
    <xf numFmtId="2" fontId="7" fillId="0" borderId="0" xfId="0" applyNumberFormat="1" applyFont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165" fontId="0" fillId="0" borderId="0" xfId="0" applyNumberFormat="1"/>
    <xf numFmtId="0" fontId="6" fillId="0" borderId="0" xfId="0" applyFont="1" applyAlignment="1">
      <alignment horizontal="right" vertical="center"/>
    </xf>
    <xf numFmtId="2" fontId="6" fillId="4" borderId="1" xfId="0" applyNumberFormat="1" applyFont="1" applyFill="1" applyBorder="1" applyAlignment="1">
      <alignment horizontal="center"/>
    </xf>
    <xf numFmtId="15" fontId="0" fillId="0" borderId="0" xfId="0" applyNumberFormat="1"/>
    <xf numFmtId="0" fontId="8" fillId="5" borderId="1" xfId="0" applyFont="1" applyFill="1" applyBorder="1" applyAlignment="1">
      <alignment horizontal="center" vertical="center" wrapText="1"/>
    </xf>
    <xf numFmtId="2" fontId="8" fillId="5" borderId="1" xfId="0" applyNumberFormat="1" applyFont="1" applyFill="1" applyBorder="1" applyAlignment="1">
      <alignment horizontal="center" vertical="center" wrapText="1"/>
    </xf>
    <xf numFmtId="0" fontId="9" fillId="6" borderId="0" xfId="0" applyFont="1" applyFill="1"/>
    <xf numFmtId="2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2" fontId="7" fillId="7" borderId="0" xfId="0" applyNumberFormat="1" applyFont="1" applyFill="1"/>
    <xf numFmtId="0" fontId="0" fillId="0" borderId="5" xfId="0" applyBorder="1" applyAlignment="1">
      <alignment horizontal="center" vertical="center"/>
    </xf>
    <xf numFmtId="2" fontId="1" fillId="0" borderId="4" xfId="2" applyNumberFormat="1" applyBorder="1" applyAlignment="1">
      <alignment horizontal="center" vertical="center"/>
    </xf>
    <xf numFmtId="2" fontId="13" fillId="0" borderId="7" xfId="3" applyNumberFormat="1" applyBorder="1" applyAlignment="1">
      <alignment horizontal="center" vertical="center"/>
    </xf>
    <xf numFmtId="164" fontId="0" fillId="9" borderId="0" xfId="1" applyFont="1" applyFill="1"/>
    <xf numFmtId="164" fontId="11" fillId="0" borderId="1" xfId="1" applyFont="1" applyBorder="1"/>
    <xf numFmtId="164" fontId="11" fillId="9" borderId="1" xfId="1" applyFont="1" applyFill="1" applyBorder="1"/>
    <xf numFmtId="164" fontId="11" fillId="8" borderId="9" xfId="1" applyFont="1" applyFill="1" applyBorder="1" applyAlignment="1">
      <alignment horizontal="center" vertical="center"/>
    </xf>
    <xf numFmtId="164" fontId="11" fillId="0" borderId="2" xfId="1" applyFont="1" applyBorder="1"/>
    <xf numFmtId="164" fontId="12" fillId="8" borderId="12" xfId="1" applyFont="1" applyFill="1" applyBorder="1"/>
    <xf numFmtId="14" fontId="11" fillId="0" borderId="14" xfId="0" applyNumberFormat="1" applyFont="1" applyBorder="1"/>
    <xf numFmtId="14" fontId="11" fillId="0" borderId="15" xfId="0" applyNumberFormat="1" applyFont="1" applyBorder="1"/>
    <xf numFmtId="166" fontId="0" fillId="0" borderId="16" xfId="0" applyNumberFormat="1" applyBorder="1" applyAlignment="1">
      <alignment horizontal="center" vertical="center"/>
    </xf>
    <xf numFmtId="164" fontId="11" fillId="0" borderId="5" xfId="1" applyFont="1" applyBorder="1"/>
    <xf numFmtId="0" fontId="11" fillId="0" borderId="17" xfId="0" applyFont="1" applyBorder="1"/>
    <xf numFmtId="164" fontId="11" fillId="0" borderId="18" xfId="1" applyFont="1" applyBorder="1"/>
    <xf numFmtId="164" fontId="11" fillId="9" borderId="18" xfId="1" applyFont="1" applyFill="1" applyBorder="1"/>
    <xf numFmtId="164" fontId="12" fillId="0" borderId="18" xfId="1" applyFont="1" applyBorder="1"/>
    <xf numFmtId="166" fontId="11" fillId="0" borderId="2" xfId="1" applyNumberFormat="1" applyFont="1" applyBorder="1"/>
    <xf numFmtId="167" fontId="11" fillId="0" borderId="18" xfId="1" applyNumberFormat="1" applyFont="1" applyBorder="1"/>
    <xf numFmtId="164" fontId="11" fillId="3" borderId="2" xfId="1" applyFont="1" applyFill="1" applyBorder="1"/>
    <xf numFmtId="164" fontId="11" fillId="3" borderId="1" xfId="1" applyFont="1" applyFill="1" applyBorder="1"/>
    <xf numFmtId="164" fontId="11" fillId="3" borderId="5" xfId="1" applyFont="1" applyFill="1" applyBorder="1"/>
    <xf numFmtId="164" fontId="14" fillId="0" borderId="0" xfId="1" applyFont="1"/>
    <xf numFmtId="164" fontId="14" fillId="9" borderId="0" xfId="1" applyFont="1" applyFill="1"/>
    <xf numFmtId="164" fontId="0" fillId="0" borderId="0" xfId="1" applyFont="1" applyAlignment="1">
      <alignment horizontal="center" vertical="center"/>
    </xf>
    <xf numFmtId="164" fontId="0" fillId="9" borderId="0" xfId="1" applyFont="1" applyFill="1" applyAlignment="1">
      <alignment horizontal="center" vertical="center"/>
    </xf>
    <xf numFmtId="164" fontId="14" fillId="9" borderId="0" xfId="1" applyFont="1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7" fontId="0" fillId="0" borderId="0" xfId="0" applyNumberFormat="1"/>
    <xf numFmtId="164" fontId="15" fillId="0" borderId="0" xfId="1" applyFont="1"/>
    <xf numFmtId="43" fontId="15" fillId="0" borderId="0" xfId="0" applyNumberFormat="1" applyFont="1" applyAlignment="1">
      <alignment horizontal="center" vertical="center"/>
    </xf>
    <xf numFmtId="164" fontId="16" fillId="0" borderId="0" xfId="1" applyFont="1"/>
    <xf numFmtId="0" fontId="11" fillId="8" borderId="8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164" fontId="11" fillId="8" borderId="9" xfId="1" applyFont="1" applyFill="1" applyBorder="1" applyAlignment="1">
      <alignment horizontal="center" vertical="center" wrapText="1"/>
    </xf>
    <xf numFmtId="164" fontId="11" fillId="8" borderId="12" xfId="1" applyFont="1" applyFill="1" applyBorder="1" applyAlignment="1">
      <alignment horizontal="center" vertical="center" wrapText="1"/>
    </xf>
    <xf numFmtId="164" fontId="11" fillId="8" borderId="9" xfId="1" applyFont="1" applyFill="1" applyBorder="1" applyAlignment="1">
      <alignment horizontal="center" vertical="center"/>
    </xf>
    <xf numFmtId="164" fontId="15" fillId="0" borderId="0" xfId="1" applyFont="1" applyAlignment="1">
      <alignment horizontal="center" vertical="center"/>
    </xf>
    <xf numFmtId="164" fontId="0" fillId="0" borderId="0" xfId="1" applyFont="1" applyAlignment="1">
      <alignment horizontal="center"/>
    </xf>
    <xf numFmtId="164" fontId="11" fillId="8" borderId="11" xfId="1" applyFont="1" applyFill="1" applyBorder="1" applyAlignment="1">
      <alignment horizontal="center" vertical="center" wrapText="1"/>
    </xf>
    <xf numFmtId="164" fontId="11" fillId="8" borderId="13" xfId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71E17890-2EF4-4CDF-8DC9-3B72CD0A90C7}"/>
    <cellStyle name="Normal 3" xfId="3" xr:uid="{E514DD93-ED63-419D-8EA0-1F34DDB153C2}"/>
  </cellStyles>
  <dxfs count="0"/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C1AD-D36D-4227-B3EF-7D3829C15849}">
  <dimension ref="B1:V57"/>
  <sheetViews>
    <sheetView tabSelected="1" zoomScale="90" zoomScaleNormal="90" workbookViewId="0">
      <selection activeCell="H26" sqref="H26"/>
    </sheetView>
  </sheetViews>
  <sheetFormatPr defaultRowHeight="12.75" x14ac:dyDescent="0.25"/>
  <cols>
    <col min="1" max="1" width="2.140625" customWidth="1"/>
    <col min="2" max="2" width="10.140625" bestFit="1" customWidth="1"/>
    <col min="3" max="3" width="15.28515625" style="2" customWidth="1"/>
    <col min="4" max="4" width="13.5703125" style="2" customWidth="1"/>
    <col min="5" max="6" width="13" style="2" customWidth="1"/>
    <col min="7" max="7" width="17.5703125" style="41" customWidth="1"/>
    <col min="8" max="8" width="13.7109375" style="2" customWidth="1"/>
    <col min="9" max="9" width="15.28515625" style="2" customWidth="1"/>
    <col min="10" max="10" width="16.5703125" style="2" customWidth="1"/>
    <col min="11" max="11" width="12.85546875" style="2" bestFit="1" customWidth="1"/>
    <col min="12" max="12" width="14.42578125" style="41" customWidth="1"/>
    <col min="13" max="13" width="18.28515625" style="2" customWidth="1"/>
    <col min="14" max="14" width="14.140625" style="2" customWidth="1"/>
    <col min="15" max="15" width="11.42578125" style="2" customWidth="1"/>
    <col min="16" max="16" width="15.140625" style="2" customWidth="1"/>
    <col min="17" max="17" width="11.42578125" style="2" customWidth="1"/>
    <col min="18" max="18" width="14.7109375" style="41" customWidth="1"/>
    <col min="19" max="19" width="18.140625" style="2" customWidth="1"/>
    <col min="20" max="20" width="14.28515625" style="5" customWidth="1"/>
    <col min="21" max="21" width="11.85546875" bestFit="1" customWidth="1"/>
    <col min="22" max="22" width="12" bestFit="1" customWidth="1"/>
  </cols>
  <sheetData>
    <row r="1" spans="2:20" ht="13.5" thickBot="1" x14ac:dyDescent="0.3">
      <c r="T1" s="38"/>
    </row>
    <row r="2" spans="2:20" s="1" customFormat="1" ht="23.1" customHeight="1" x14ac:dyDescent="0.25">
      <c r="B2" s="70" t="s">
        <v>0</v>
      </c>
      <c r="C2" s="74" t="s">
        <v>121</v>
      </c>
      <c r="D2" s="74"/>
      <c r="E2" s="74"/>
      <c r="F2" s="74"/>
      <c r="G2" s="74"/>
      <c r="H2" s="74" t="s">
        <v>122</v>
      </c>
      <c r="I2" s="74"/>
      <c r="J2" s="74"/>
      <c r="K2" s="74"/>
      <c r="L2" s="74"/>
      <c r="M2" s="44"/>
      <c r="N2" s="74" t="s">
        <v>6</v>
      </c>
      <c r="O2" s="74"/>
      <c r="P2" s="74"/>
      <c r="Q2" s="74"/>
      <c r="R2" s="74"/>
      <c r="S2" s="72" t="s">
        <v>7</v>
      </c>
      <c r="T2" s="77" t="s">
        <v>118</v>
      </c>
    </row>
    <row r="3" spans="2:20" ht="13.5" thickBot="1" x14ac:dyDescent="0.3">
      <c r="B3" s="71"/>
      <c r="C3" s="46" t="s">
        <v>1</v>
      </c>
      <c r="D3" s="46" t="s">
        <v>4</v>
      </c>
      <c r="E3" s="46" t="s">
        <v>2</v>
      </c>
      <c r="F3" s="46" t="s">
        <v>5</v>
      </c>
      <c r="G3" s="46" t="s">
        <v>3</v>
      </c>
      <c r="H3" s="46" t="s">
        <v>1</v>
      </c>
      <c r="I3" s="46" t="s">
        <v>4</v>
      </c>
      <c r="J3" s="46" t="s">
        <v>2</v>
      </c>
      <c r="K3" s="46" t="s">
        <v>5</v>
      </c>
      <c r="L3" s="46" t="s">
        <v>3</v>
      </c>
      <c r="M3" s="46" t="s">
        <v>119</v>
      </c>
      <c r="N3" s="46" t="s">
        <v>1</v>
      </c>
      <c r="O3" s="46" t="s">
        <v>4</v>
      </c>
      <c r="P3" s="46" t="s">
        <v>2</v>
      </c>
      <c r="Q3" s="46" t="s">
        <v>5</v>
      </c>
      <c r="R3" s="46" t="s">
        <v>3</v>
      </c>
      <c r="S3" s="73"/>
      <c r="T3" s="78"/>
    </row>
    <row r="4" spans="2:20" x14ac:dyDescent="0.25">
      <c r="B4" s="47">
        <v>46174</v>
      </c>
      <c r="C4" s="45">
        <f>+TNEB!$I13</f>
        <v>9599.9999999992269</v>
      </c>
      <c r="D4" s="45">
        <f>+TNEB!$L13</f>
        <v>10000</v>
      </c>
      <c r="E4" s="45">
        <f>+TNEB!$R13</f>
        <v>22299.999999997908</v>
      </c>
      <c r="F4" s="45">
        <f>+TNEB!$U13</f>
        <v>17200.000000000273</v>
      </c>
      <c r="G4" s="57">
        <f>SUM(C4:F4)</f>
        <v>59099.99999999741</v>
      </c>
      <c r="H4" s="45" cm="1">
        <f t="array" ref="H4">INDEX(DAM!$100:$100,ROW(H2))+INDEX(RTM!$100:$100,ROW(H2))</f>
        <v>7519.9999999999973</v>
      </c>
      <c r="I4" s="45" cm="1">
        <f t="array" ref="I4">INDEX(DAM!$101:$101,ROW(I2))+INDEX(RTM!$101:$101,ROW(I2))</f>
        <v>940</v>
      </c>
      <c r="J4" s="45" cm="1">
        <f t="array" ref="J4">INDEX(DAM!$103:$103,ROW(J2))+INDEX(RTM!$103:$103,ROW(J2))</f>
        <v>9870</v>
      </c>
      <c r="K4" s="45" cm="1">
        <f t="array" ref="K4">INDEX(DAM!$104:$104,ROW(K2))</f>
        <v>0</v>
      </c>
      <c r="L4" s="57">
        <f>SUM(H4:K4)</f>
        <v>18329.999999999996</v>
      </c>
      <c r="M4" s="57">
        <f>+G4-L4</f>
        <v>40769.99999999741</v>
      </c>
      <c r="N4" s="45">
        <v>7109.1</v>
      </c>
      <c r="O4" s="45"/>
      <c r="P4" s="45">
        <v>28432.350000000002</v>
      </c>
      <c r="Q4" s="45"/>
      <c r="R4" s="57">
        <f>SUM(N4:Q4)</f>
        <v>35541.450000000004</v>
      </c>
      <c r="S4" s="55">
        <f t="shared" ref="S4:S33" si="0">G4-L4-R4</f>
        <v>5228.5499999974054</v>
      </c>
      <c r="T4" s="49">
        <f t="shared" ref="T4:T33" si="1">R4-M4</f>
        <v>-5228.5499999974054</v>
      </c>
    </row>
    <row r="5" spans="2:20" x14ac:dyDescent="0.25">
      <c r="B5" s="48">
        <v>46175</v>
      </c>
      <c r="C5" s="42">
        <f>+TNEB!$I14</f>
        <v>9700.0000000002728</v>
      </c>
      <c r="D5" s="42">
        <f>+TNEB!$L14</f>
        <v>9599.9999999992269</v>
      </c>
      <c r="E5" s="42">
        <f>+TNEB!$R14</f>
        <v>23200.000000001637</v>
      </c>
      <c r="F5" s="42">
        <f>+TNEB!$U14</f>
        <v>16500.000000000909</v>
      </c>
      <c r="G5" s="58">
        <f t="shared" ref="G5:G33" si="2">SUM(C5:F5)</f>
        <v>59000.000000002045</v>
      </c>
      <c r="H5" s="42" cm="1">
        <f t="array" ref="H5">INDEX(DAM!$100:$100,ROW(H3))+INDEX(RTM!$100:$100,ROW(H3))</f>
        <v>7519.9999999999973</v>
      </c>
      <c r="I5" s="42" cm="1">
        <f t="array" ref="I5">INDEX(DAM!$101:$101,ROW(I3))+INDEX(RTM!$101:$101,ROW(I3))</f>
        <v>1410</v>
      </c>
      <c r="J5" s="42" cm="1">
        <f t="array" ref="J5">INDEX(DAM!$103:$103,ROW(J3))+INDEX(RTM!$103:$103,ROW(J3))</f>
        <v>9399.9999999999982</v>
      </c>
      <c r="K5" s="42" cm="1">
        <f t="array" ref="K5">INDEX(DAM!$104:$104,ROW(K3))</f>
        <v>0</v>
      </c>
      <c r="L5" s="58">
        <f>SUM(H5:K5)</f>
        <v>18329.999999999993</v>
      </c>
      <c r="M5" s="58">
        <f t="shared" ref="M5:M33" si="3">+G5-L5</f>
        <v>40670.000000002052</v>
      </c>
      <c r="N5" s="42">
        <v>7109.1</v>
      </c>
      <c r="O5" s="42"/>
      <c r="P5" s="42">
        <v>28432.350000000002</v>
      </c>
      <c r="Q5" s="42"/>
      <c r="R5" s="58">
        <f>SUM(N5:Q5)</f>
        <v>35541.450000000004</v>
      </c>
      <c r="S5" s="55">
        <f t="shared" si="0"/>
        <v>5128.5500000020475</v>
      </c>
      <c r="T5" s="49">
        <f t="shared" si="1"/>
        <v>-5128.5500000020475</v>
      </c>
    </row>
    <row r="6" spans="2:20" x14ac:dyDescent="0.25">
      <c r="B6" s="47">
        <v>46176</v>
      </c>
      <c r="C6" s="42">
        <f>+TNEB!$I15</f>
        <v>9500.0000000004547</v>
      </c>
      <c r="D6" s="42">
        <f>+TNEB!$L15</f>
        <v>9300.0000000006366</v>
      </c>
      <c r="E6" s="42">
        <f>+TNEB!$R15</f>
        <v>20499.999999999545</v>
      </c>
      <c r="F6" s="42">
        <f>+TNEB!$U15</f>
        <v>17000.000000000455</v>
      </c>
      <c r="G6" s="58">
        <f t="shared" si="2"/>
        <v>56300.000000001091</v>
      </c>
      <c r="H6" s="42" cm="1">
        <f t="array" ref="H6">INDEX(DAM!$100:$100,ROW(H4))+INDEX(RTM!$100:$100,ROW(H4))</f>
        <v>7519.9999999999973</v>
      </c>
      <c r="I6" s="42" cm="1">
        <f t="array" ref="I6">INDEX(DAM!$101:$101,ROW(I4))+INDEX(RTM!$101:$101,ROW(I4))</f>
        <v>1410</v>
      </c>
      <c r="J6" s="42" cm="1">
        <f t="array" ref="J6">INDEX(DAM!$103:$103,ROW(J4))+INDEX(RTM!$103:$103,ROW(J4))</f>
        <v>8929.9999999999982</v>
      </c>
      <c r="K6" s="42" cm="1">
        <f t="array" ref="K6">INDEX(DAM!$104:$104,ROW(K4))</f>
        <v>0</v>
      </c>
      <c r="L6" s="58">
        <f t="shared" ref="L6:L33" si="4">SUM(H6:K6)</f>
        <v>17859.999999999993</v>
      </c>
      <c r="M6" s="58">
        <f t="shared" si="3"/>
        <v>38440.000000001099</v>
      </c>
      <c r="N6" s="42">
        <v>7109.1</v>
      </c>
      <c r="O6" s="42"/>
      <c r="P6" s="42">
        <v>28432.350000000002</v>
      </c>
      <c r="Q6" s="42"/>
      <c r="R6" s="58">
        <f t="shared" ref="R6:R30" si="5">SUM(N6:Q6)</f>
        <v>35541.450000000004</v>
      </c>
      <c r="S6" s="55">
        <f t="shared" si="0"/>
        <v>2898.5500000010943</v>
      </c>
      <c r="T6" s="49">
        <f t="shared" si="1"/>
        <v>-2898.5500000010943</v>
      </c>
    </row>
    <row r="7" spans="2:20" x14ac:dyDescent="0.25">
      <c r="B7" s="48">
        <v>46177</v>
      </c>
      <c r="C7" s="42">
        <f>+TNEB!$I16</f>
        <v>9399.9999999994088</v>
      </c>
      <c r="D7" s="42">
        <f>+TNEB!$L16</f>
        <v>8799.9999999999545</v>
      </c>
      <c r="E7" s="42">
        <f>+TNEB!$R16</f>
        <v>19400.000000000546</v>
      </c>
      <c r="F7" s="42">
        <f>+TNEB!$U16</f>
        <v>14900.000000000091</v>
      </c>
      <c r="G7" s="58">
        <f t="shared" si="2"/>
        <v>52500</v>
      </c>
      <c r="H7" s="42" cm="1">
        <f t="array" ref="H7">INDEX(DAM!$100:$100,ROW(H5))+INDEX(RTM!$100:$100,ROW(H5))</f>
        <v>7519.9999999999973</v>
      </c>
      <c r="I7" s="42" cm="1">
        <f t="array" ref="I7">INDEX(DAM!$101:$101,ROW(I5))+INDEX(RTM!$101:$101,ROW(I5))</f>
        <v>940</v>
      </c>
      <c r="J7" s="42" cm="1">
        <f t="array" ref="J7">INDEX(DAM!$103:$103,ROW(J5))+INDEX(RTM!$103:$103,ROW(J5))</f>
        <v>9399.9999999999982</v>
      </c>
      <c r="K7" s="42" cm="1">
        <f t="array" ref="K7">INDEX(DAM!$104:$104,ROW(K5))</f>
        <v>0</v>
      </c>
      <c r="L7" s="58">
        <f t="shared" si="4"/>
        <v>17859.999999999993</v>
      </c>
      <c r="M7" s="58">
        <f t="shared" si="3"/>
        <v>34640.000000000007</v>
      </c>
      <c r="N7" s="42">
        <v>7109.1</v>
      </c>
      <c r="O7" s="42"/>
      <c r="P7" s="42">
        <v>28432.350000000002</v>
      </c>
      <c r="Q7" s="42"/>
      <c r="R7" s="58">
        <f t="shared" si="5"/>
        <v>35541.450000000004</v>
      </c>
      <c r="S7" s="55">
        <f t="shared" si="0"/>
        <v>-901.44999999999709</v>
      </c>
      <c r="T7" s="49">
        <f t="shared" si="1"/>
        <v>901.44999999999709</v>
      </c>
    </row>
    <row r="8" spans="2:20" x14ac:dyDescent="0.25">
      <c r="B8" s="47">
        <v>46178</v>
      </c>
      <c r="C8" s="42">
        <f>+TNEB!$I17</f>
        <v>9600.0000000003638</v>
      </c>
      <c r="D8" s="42">
        <f>+TNEB!$L17</f>
        <v>10000</v>
      </c>
      <c r="E8" s="42">
        <f>+TNEB!$R17</f>
        <v>22200.000000000273</v>
      </c>
      <c r="F8" s="42">
        <f>+TNEB!$U17</f>
        <v>16699.999999998454</v>
      </c>
      <c r="G8" s="58">
        <f t="shared" si="2"/>
        <v>58499.999999999098</v>
      </c>
      <c r="H8" s="42" cm="1">
        <f t="array" ref="H8">INDEX(DAM!$100:$100,ROW(H6))+INDEX(RTM!$100:$100,ROW(H6))</f>
        <v>7049.9999999999973</v>
      </c>
      <c r="I8" s="42" cm="1">
        <f t="array" ref="I8">INDEX(DAM!$101:$101,ROW(I6))+INDEX(RTM!$101:$101,ROW(I6))</f>
        <v>940</v>
      </c>
      <c r="J8" s="42" cm="1">
        <f t="array" ref="J8">INDEX(DAM!$103:$103,ROW(J6))+INDEX(RTM!$103:$103,ROW(J6))</f>
        <v>8929.9999999999982</v>
      </c>
      <c r="K8" s="42" cm="1">
        <f t="array" ref="K8">INDEX(DAM!$104:$104,ROW(K6))</f>
        <v>0</v>
      </c>
      <c r="L8" s="58">
        <f t="shared" si="4"/>
        <v>16919.999999999996</v>
      </c>
      <c r="M8" s="58">
        <f t="shared" si="3"/>
        <v>41579.999999999098</v>
      </c>
      <c r="N8" s="42">
        <v>7109.1</v>
      </c>
      <c r="O8" s="42"/>
      <c r="P8" s="42">
        <v>28432.350000000002</v>
      </c>
      <c r="Q8" s="42"/>
      <c r="R8" s="58">
        <f t="shared" si="5"/>
        <v>35541.450000000004</v>
      </c>
      <c r="S8" s="55">
        <f t="shared" si="0"/>
        <v>6038.5499999990934</v>
      </c>
      <c r="T8" s="49">
        <f t="shared" si="1"/>
        <v>-6038.5499999990934</v>
      </c>
    </row>
    <row r="9" spans="2:20" x14ac:dyDescent="0.25">
      <c r="B9" s="48">
        <v>46179</v>
      </c>
      <c r="C9" s="42">
        <f>+TNEB!$I18</f>
        <v>8899.9999999998636</v>
      </c>
      <c r="D9" s="42">
        <f>+TNEB!$L18</f>
        <v>10000</v>
      </c>
      <c r="E9" s="42">
        <f>+TNEB!$R18</f>
        <v>20499.999999999545</v>
      </c>
      <c r="F9" s="42">
        <f>+TNEB!$U18</f>
        <v>16500.000000000909</v>
      </c>
      <c r="G9" s="58">
        <f t="shared" si="2"/>
        <v>55900.000000000313</v>
      </c>
      <c r="H9" s="42" cm="1">
        <f t="array" ref="H9">INDEX(DAM!$100:$100,ROW(H7))+INDEX(RTM!$100:$100,ROW(H7))</f>
        <v>7519.9999999999973</v>
      </c>
      <c r="I9" s="42" cm="1">
        <f t="array" ref="I9">INDEX(DAM!$101:$101,ROW(I7))+INDEX(RTM!$101:$101,ROW(I7))</f>
        <v>1880</v>
      </c>
      <c r="J9" s="42" cm="1">
        <f t="array" ref="J9">INDEX(DAM!$103:$103,ROW(J7))+INDEX(RTM!$103:$103,ROW(J7))</f>
        <v>9399.9999999999982</v>
      </c>
      <c r="K9" s="42" cm="1">
        <f t="array" ref="K9">INDEX(DAM!$104:$104,ROW(K7))</f>
        <v>0</v>
      </c>
      <c r="L9" s="58">
        <f t="shared" si="4"/>
        <v>18799.999999999993</v>
      </c>
      <c r="M9" s="58">
        <f t="shared" si="3"/>
        <v>37100.00000000032</v>
      </c>
      <c r="N9" s="42">
        <v>7109.1</v>
      </c>
      <c r="O9" s="42"/>
      <c r="P9" s="42">
        <v>28432.350000000002</v>
      </c>
      <c r="Q9" s="42"/>
      <c r="R9" s="58">
        <f t="shared" si="5"/>
        <v>35541.450000000004</v>
      </c>
      <c r="S9" s="55">
        <f t="shared" si="0"/>
        <v>1558.5500000003158</v>
      </c>
      <c r="T9" s="49">
        <f t="shared" si="1"/>
        <v>-1558.5500000003158</v>
      </c>
    </row>
    <row r="10" spans="2:20" x14ac:dyDescent="0.25">
      <c r="B10" s="47">
        <v>46180</v>
      </c>
      <c r="C10" s="42">
        <f>+TNEB!$I19</f>
        <v>9600.0000000003638</v>
      </c>
      <c r="D10" s="42">
        <f>+TNEB!$L19</f>
        <v>8600.0000000001364</v>
      </c>
      <c r="E10" s="42">
        <f>+TNEB!$R19</f>
        <v>21800.000000000637</v>
      </c>
      <c r="F10" s="42">
        <f>+TNEB!$U19</f>
        <v>15299.999999999727</v>
      </c>
      <c r="G10" s="58">
        <f t="shared" si="2"/>
        <v>55300.000000000859</v>
      </c>
      <c r="H10" s="42" cm="1">
        <f t="array" ref="H10">INDEX(DAM!$100:$100,ROW(H8))+INDEX(RTM!$100:$100,ROW(H8))</f>
        <v>7519.9999999999973</v>
      </c>
      <c r="I10" s="42" cm="1">
        <f t="array" ref="I10">INDEX(DAM!$101:$101,ROW(I8))+INDEX(RTM!$101:$101,ROW(I8))</f>
        <v>3759.9999999999991</v>
      </c>
      <c r="J10" s="42" cm="1">
        <f t="array" ref="J10">INDEX(DAM!$103:$103,ROW(J8))+INDEX(RTM!$103:$103,ROW(J8))</f>
        <v>11750.000000000002</v>
      </c>
      <c r="K10" s="42" cm="1">
        <f t="array" ref="K10">INDEX(DAM!$104:$104,ROW(K8))</f>
        <v>0</v>
      </c>
      <c r="L10" s="58">
        <f t="shared" si="4"/>
        <v>23030</v>
      </c>
      <c r="M10" s="58">
        <f>+G10-L10</f>
        <v>32270.000000000859</v>
      </c>
      <c r="N10" s="42">
        <v>7109.1</v>
      </c>
      <c r="O10" s="42"/>
      <c r="P10" s="42">
        <v>28432.350000000002</v>
      </c>
      <c r="Q10" s="42"/>
      <c r="R10" s="58">
        <f>SUM(N10:Q10)</f>
        <v>35541.450000000004</v>
      </c>
      <c r="S10" s="55">
        <f t="shared" si="0"/>
        <v>-3271.4499999991458</v>
      </c>
      <c r="T10" s="49">
        <f t="shared" si="1"/>
        <v>3271.4499999991458</v>
      </c>
    </row>
    <row r="11" spans="2:20" x14ac:dyDescent="0.25">
      <c r="B11" s="48">
        <v>46181</v>
      </c>
      <c r="C11" s="42">
        <f>+TNEB!$I20</f>
        <v>8299.9999999992724</v>
      </c>
      <c r="D11" s="42">
        <f>+TNEB!$L20</f>
        <v>3600.0000000001364</v>
      </c>
      <c r="E11" s="42">
        <f>+TNEB!$R20</f>
        <v>11899.999999998272</v>
      </c>
      <c r="F11" s="42">
        <f>+TNEB!$U20</f>
        <v>8199.9999999993634</v>
      </c>
      <c r="G11" s="58">
        <f t="shared" si="2"/>
        <v>31999.999999997042</v>
      </c>
      <c r="H11" s="42" cm="1">
        <f t="array" ref="H11">INDEX(DAM!$100:$100,ROW(H9))+INDEX(RTM!$100:$100,ROW(H9))</f>
        <v>7519.9999999999973</v>
      </c>
      <c r="I11" s="42" cm="1">
        <f t="array" ref="I11">INDEX(DAM!$101:$101,ROW(I9))+INDEX(RTM!$101:$101,ROW(I9))</f>
        <v>1410</v>
      </c>
      <c r="J11" s="42" cm="1">
        <f t="array" ref="J11">INDEX(DAM!$103:$103,ROW(J9))+INDEX(RTM!$103:$103,ROW(J9))</f>
        <v>8929.9999999999982</v>
      </c>
      <c r="K11" s="42" cm="1">
        <f t="array" ref="K11">INDEX(DAM!$104:$104,ROW(K9))</f>
        <v>0</v>
      </c>
      <c r="L11" s="58">
        <f t="shared" si="4"/>
        <v>17859.999999999993</v>
      </c>
      <c r="M11" s="58">
        <f t="shared" si="3"/>
        <v>14139.99999999705</v>
      </c>
      <c r="N11" s="42">
        <v>7109.1</v>
      </c>
      <c r="O11" s="42"/>
      <c r="P11" s="42">
        <v>28432.350000000002</v>
      </c>
      <c r="Q11" s="42"/>
      <c r="R11" s="58">
        <f t="shared" si="5"/>
        <v>35541.450000000004</v>
      </c>
      <c r="S11" s="55">
        <f t="shared" si="0"/>
        <v>-21401.450000002955</v>
      </c>
      <c r="T11" s="49">
        <f t="shared" si="1"/>
        <v>21401.450000002955</v>
      </c>
    </row>
    <row r="12" spans="2:20" x14ac:dyDescent="0.25">
      <c r="B12" s="47">
        <v>46182</v>
      </c>
      <c r="C12" s="42">
        <f>+TNEB!$I21</f>
        <v>7400.0000000000909</v>
      </c>
      <c r="D12" s="42">
        <f>+TNEB!$L21</f>
        <v>9399.9999999994088</v>
      </c>
      <c r="E12" s="42">
        <f>+TNEB!$R21</f>
        <v>18900.000000001</v>
      </c>
      <c r="F12" s="42">
        <f>+TNEB!$U21</f>
        <v>17100.000000000364</v>
      </c>
      <c r="G12" s="58">
        <f t="shared" si="2"/>
        <v>52800.000000000859</v>
      </c>
      <c r="H12" s="42" cm="1">
        <f t="array" ref="H12">INDEX(DAM!$100:$100,ROW(H10))+INDEX(RTM!$100:$100,ROW(H10))</f>
        <v>3524.9999999999986</v>
      </c>
      <c r="I12" s="42" cm="1">
        <f t="array" ref="I12">INDEX(DAM!$101:$101,ROW(I10))+INDEX(RTM!$101:$101,ROW(I10))</f>
        <v>705</v>
      </c>
      <c r="J12" s="42" cm="1">
        <f t="array" ref="J12">INDEX(DAM!$103:$103,ROW(J10))+INDEX(RTM!$103:$103,ROW(J10))</f>
        <v>4229.9999999999991</v>
      </c>
      <c r="K12" s="42" cm="1">
        <f t="array" ref="K12">INDEX(DAM!$104:$104,ROW(K10))</f>
        <v>0</v>
      </c>
      <c r="L12" s="58">
        <f t="shared" si="4"/>
        <v>8459.9999999999964</v>
      </c>
      <c r="M12" s="58">
        <f t="shared" si="3"/>
        <v>44340.000000000859</v>
      </c>
      <c r="N12" s="42">
        <v>7109.1</v>
      </c>
      <c r="O12" s="42"/>
      <c r="P12" s="42">
        <v>28432.350000000002</v>
      </c>
      <c r="Q12" s="42"/>
      <c r="R12" s="58">
        <f t="shared" si="5"/>
        <v>35541.450000000004</v>
      </c>
      <c r="S12" s="55">
        <f t="shared" si="0"/>
        <v>8798.5500000008542</v>
      </c>
      <c r="T12" s="49">
        <f t="shared" si="1"/>
        <v>-8798.5500000008542</v>
      </c>
    </row>
    <row r="13" spans="2:20" x14ac:dyDescent="0.25">
      <c r="B13" s="48">
        <v>46183</v>
      </c>
      <c r="C13" s="42">
        <f>+TNEB!$I22</f>
        <v>9600.0000000003638</v>
      </c>
      <c r="D13" s="42">
        <f>+TNEB!$L22</f>
        <v>10099.999999999909</v>
      </c>
      <c r="E13" s="42">
        <f>+TNEB!$R22</f>
        <v>21700.000000000728</v>
      </c>
      <c r="F13" s="42">
        <f>+TNEB!$U22</f>
        <v>13199.999999999363</v>
      </c>
      <c r="G13" s="58">
        <f t="shared" si="2"/>
        <v>54600.000000000364</v>
      </c>
      <c r="H13" s="42" cm="1">
        <f t="array" ref="H13">INDEX(DAM!$100:$100,ROW(H11))+INDEX(RTM!$100:$100,ROW(H11))</f>
        <v>7519.9999999999973</v>
      </c>
      <c r="I13" s="42" cm="1">
        <f t="array" ref="I13">INDEX(DAM!$101:$101,ROW(I11))+INDEX(RTM!$101:$101,ROW(I11))</f>
        <v>1410</v>
      </c>
      <c r="J13" s="42" cm="1">
        <f t="array" ref="J13">INDEX(DAM!$103:$103,ROW(J11))+INDEX(RTM!$103:$103,ROW(J11))</f>
        <v>7989.9999999999964</v>
      </c>
      <c r="K13" s="42" cm="1">
        <f t="array" ref="K13">INDEX(DAM!$104:$104,ROW(K11))</f>
        <v>0</v>
      </c>
      <c r="L13" s="58">
        <f t="shared" si="4"/>
        <v>16919.999999999993</v>
      </c>
      <c r="M13" s="58">
        <f t="shared" si="3"/>
        <v>37680.000000000371</v>
      </c>
      <c r="N13" s="42">
        <v>7109.1</v>
      </c>
      <c r="O13" s="42"/>
      <c r="P13" s="42">
        <v>28432.350000000002</v>
      </c>
      <c r="Q13" s="42"/>
      <c r="R13" s="58">
        <f t="shared" si="5"/>
        <v>35541.450000000004</v>
      </c>
      <c r="S13" s="55">
        <f t="shared" si="0"/>
        <v>2138.5500000003667</v>
      </c>
      <c r="T13" s="49">
        <f t="shared" si="1"/>
        <v>-2138.5500000003667</v>
      </c>
    </row>
    <row r="14" spans="2:20" x14ac:dyDescent="0.25">
      <c r="B14" s="47">
        <v>46184</v>
      </c>
      <c r="C14" s="42">
        <f>+TNEB!$I23</f>
        <v>8899.9999999998636</v>
      </c>
      <c r="D14" s="42">
        <f>+TNEB!$L23</f>
        <v>8899.9999999998636</v>
      </c>
      <c r="E14" s="42">
        <f>+TNEB!$R23</f>
        <v>19399.999999998272</v>
      </c>
      <c r="F14" s="42">
        <f>+TNEB!$U23</f>
        <v>16300.000000001091</v>
      </c>
      <c r="G14" s="58">
        <f t="shared" si="2"/>
        <v>53499.999999999091</v>
      </c>
      <c r="H14" s="42" cm="1">
        <f t="array" ref="H14">INDEX(DAM!$100:$100,ROW(H12))+INDEX(RTM!$100:$100,ROW(H12))</f>
        <v>7519.9999999999973</v>
      </c>
      <c r="I14" s="42" cm="1">
        <f t="array" ref="I14">INDEX(DAM!$101:$101,ROW(I12))+INDEX(RTM!$101:$101,ROW(I12))</f>
        <v>2349.9999999999995</v>
      </c>
      <c r="J14" s="42" cm="1">
        <f t="array" ref="J14">INDEX(DAM!$103:$103,ROW(J12))+INDEX(RTM!$103:$103,ROW(J12))</f>
        <v>8459.9999999999982</v>
      </c>
      <c r="K14" s="42" cm="1">
        <f t="array" ref="K14">INDEX(DAM!$104:$104,ROW(K12))</f>
        <v>0</v>
      </c>
      <c r="L14" s="58">
        <f t="shared" si="4"/>
        <v>18329.999999999993</v>
      </c>
      <c r="M14" s="58">
        <f t="shared" si="3"/>
        <v>35169.999999999098</v>
      </c>
      <c r="N14" s="42">
        <v>7109.1</v>
      </c>
      <c r="O14" s="42"/>
      <c r="P14" s="42">
        <v>28432.350000000002</v>
      </c>
      <c r="Q14" s="42"/>
      <c r="R14" s="58">
        <f t="shared" si="5"/>
        <v>35541.450000000004</v>
      </c>
      <c r="S14" s="55">
        <f t="shared" si="0"/>
        <v>-371.45000000090658</v>
      </c>
      <c r="T14" s="49">
        <f t="shared" si="1"/>
        <v>371.45000000090658</v>
      </c>
    </row>
    <row r="15" spans="2:20" x14ac:dyDescent="0.25">
      <c r="B15" s="48">
        <v>46185</v>
      </c>
      <c r="C15" s="42">
        <f>+TNEB!$I24</f>
        <v>9500.0000000004547</v>
      </c>
      <c r="D15" s="42">
        <f>+TNEB!$L24</f>
        <v>10000</v>
      </c>
      <c r="E15" s="42">
        <f>+TNEB!$R24</f>
        <v>21200.000000001182</v>
      </c>
      <c r="F15" s="42">
        <f>+TNEB!$U24</f>
        <v>16199.999999998909</v>
      </c>
      <c r="G15" s="58">
        <f t="shared" si="2"/>
        <v>56900.000000000546</v>
      </c>
      <c r="H15" s="42" cm="1">
        <f t="array" ref="H15">INDEX(DAM!$100:$100,ROW(H13))+INDEX(RTM!$100:$100,ROW(H13))</f>
        <v>7519.9999999999973</v>
      </c>
      <c r="I15" s="42" cm="1">
        <f t="array" ref="I15">INDEX(DAM!$101:$101,ROW(I13))+INDEX(RTM!$101:$101,ROW(I13))</f>
        <v>2819.9999999999995</v>
      </c>
      <c r="J15" s="42" cm="1">
        <f t="array" ref="J15">INDEX(DAM!$103:$103,ROW(J13))+INDEX(RTM!$103:$103,ROW(J13))</f>
        <v>9399.9999999999982</v>
      </c>
      <c r="K15" s="42" cm="1">
        <f t="array" ref="K15">INDEX(DAM!$104:$104,ROW(K13))</f>
        <v>0</v>
      </c>
      <c r="L15" s="58">
        <f t="shared" si="4"/>
        <v>19739.999999999993</v>
      </c>
      <c r="M15" s="58">
        <f t="shared" si="3"/>
        <v>37160.000000000553</v>
      </c>
      <c r="N15" s="42">
        <v>7109.1</v>
      </c>
      <c r="O15" s="42"/>
      <c r="P15" s="42">
        <v>28432.350000000002</v>
      </c>
      <c r="Q15" s="42"/>
      <c r="R15" s="58">
        <f t="shared" si="5"/>
        <v>35541.450000000004</v>
      </c>
      <c r="S15" s="55">
        <f t="shared" si="0"/>
        <v>1618.5500000005486</v>
      </c>
      <c r="T15" s="49">
        <f t="shared" si="1"/>
        <v>-1618.5500000005486</v>
      </c>
    </row>
    <row r="16" spans="2:20" x14ac:dyDescent="0.25">
      <c r="B16" s="47">
        <v>46186</v>
      </c>
      <c r="C16" s="42">
        <f>+TNEB!$I25</f>
        <v>8899.9999999998636</v>
      </c>
      <c r="D16" s="42">
        <f>+TNEB!$L25</f>
        <v>9400.0000000005457</v>
      </c>
      <c r="E16" s="42">
        <f>+TNEB!$R25</f>
        <v>22000.000000000455</v>
      </c>
      <c r="F16" s="42">
        <f>+TNEB!$U25</f>
        <v>17000.000000000455</v>
      </c>
      <c r="G16" s="58">
        <f t="shared" si="2"/>
        <v>57300.00000000131</v>
      </c>
      <c r="H16" s="42" cm="1">
        <f t="array" ref="H16">INDEX(DAM!$100:$100,ROW(H14))+INDEX(RTM!$100:$100,ROW(H14))</f>
        <v>7519.9999999999973</v>
      </c>
      <c r="I16" s="42" cm="1">
        <f t="array" ref="I16">INDEX(DAM!$101:$101,ROW(I14))+INDEX(RTM!$101:$101,ROW(I14))</f>
        <v>5639.9999999999982</v>
      </c>
      <c r="J16" s="42" cm="1">
        <f t="array" ref="J16">INDEX(DAM!$103:$103,ROW(J14))+INDEX(RTM!$103:$103,ROW(J14))</f>
        <v>9870</v>
      </c>
      <c r="K16" s="42" cm="1">
        <f t="array" ref="K16">INDEX(DAM!$104:$104,ROW(K14))</f>
        <v>0</v>
      </c>
      <c r="L16" s="58">
        <f t="shared" si="4"/>
        <v>23029.999999999996</v>
      </c>
      <c r="M16" s="58">
        <f t="shared" si="3"/>
        <v>34270.00000000131</v>
      </c>
      <c r="N16" s="42">
        <v>7109.1</v>
      </c>
      <c r="O16" s="42"/>
      <c r="P16" s="42">
        <v>28432.350000000002</v>
      </c>
      <c r="Q16" s="42"/>
      <c r="R16" s="58">
        <f t="shared" si="5"/>
        <v>35541.450000000004</v>
      </c>
      <c r="S16" s="55">
        <f t="shared" si="0"/>
        <v>-1271.4499999986947</v>
      </c>
      <c r="T16" s="49">
        <f t="shared" si="1"/>
        <v>1271.4499999986947</v>
      </c>
    </row>
    <row r="17" spans="2:20" x14ac:dyDescent="0.25">
      <c r="B17" s="48">
        <v>46187</v>
      </c>
      <c r="C17" s="42">
        <f>+TNEB!$I26</f>
        <v>9600.0000000003638</v>
      </c>
      <c r="D17" s="42">
        <f>+TNEB!$L26</f>
        <v>10000</v>
      </c>
      <c r="E17" s="42">
        <f>+TNEB!$R26</f>
        <v>20399.999999999636</v>
      </c>
      <c r="F17" s="42">
        <f>+TNEB!$U26</f>
        <v>16900.000000000546</v>
      </c>
      <c r="G17" s="58">
        <f t="shared" si="2"/>
        <v>56900.000000000546</v>
      </c>
      <c r="H17" s="42" cm="1">
        <f t="array" ref="H17">INDEX(DAM!$100:$100,ROW(H15))+INDEX(RTM!$100:$100,ROW(H15))</f>
        <v>7519.9999999999973</v>
      </c>
      <c r="I17" s="42" cm="1">
        <f t="array" ref="I17">INDEX(DAM!$101:$101,ROW(I15))+INDEX(RTM!$101:$101,ROW(I15))</f>
        <v>7519.9999999999973</v>
      </c>
      <c r="J17" s="42" cm="1">
        <f t="array" ref="J17">INDEX(DAM!$103:$103,ROW(J15))+INDEX(RTM!$103:$103,ROW(J15))</f>
        <v>15040.000000000005</v>
      </c>
      <c r="K17" s="42" cm="1">
        <f t="array" ref="K17">INDEX(DAM!$104:$104,ROW(K15))</f>
        <v>0</v>
      </c>
      <c r="L17" s="58">
        <f t="shared" si="4"/>
        <v>30080</v>
      </c>
      <c r="M17" s="58">
        <f t="shared" si="3"/>
        <v>26820.000000000546</v>
      </c>
      <c r="N17" s="42">
        <v>7109.1</v>
      </c>
      <c r="O17" s="42"/>
      <c r="P17" s="42">
        <v>28432.350000000002</v>
      </c>
      <c r="Q17" s="42"/>
      <c r="R17" s="58">
        <f t="shared" si="5"/>
        <v>35541.450000000004</v>
      </c>
      <c r="S17" s="55">
        <f t="shared" si="0"/>
        <v>-8721.4499999994587</v>
      </c>
      <c r="T17" s="49">
        <f t="shared" si="1"/>
        <v>8721.4499999994587</v>
      </c>
    </row>
    <row r="18" spans="2:20" x14ac:dyDescent="0.25">
      <c r="B18" s="47">
        <v>46188</v>
      </c>
      <c r="C18" s="42">
        <f>+TNEB!$I27</f>
        <v>9499.9999999993179</v>
      </c>
      <c r="D18" s="42">
        <f>+TNEB!$L27</f>
        <v>10000</v>
      </c>
      <c r="E18" s="42">
        <f>+TNEB!$R27</f>
        <v>21799.999999998363</v>
      </c>
      <c r="F18" s="42">
        <f>+TNEB!$U27</f>
        <v>16299.999999998818</v>
      </c>
      <c r="G18" s="58">
        <f t="shared" si="2"/>
        <v>57599.999999996493</v>
      </c>
      <c r="H18" s="42" cm="1">
        <f t="array" ref="H18">INDEX(DAM!$100:$100,ROW(H16))+INDEX(RTM!$100:$100,ROW(H16))</f>
        <v>7519.9999999999973</v>
      </c>
      <c r="I18" s="42" cm="1">
        <f t="array" ref="I18">INDEX(DAM!$101:$101,ROW(I16))+INDEX(RTM!$101:$101,ROW(I16))</f>
        <v>4229.9999999999991</v>
      </c>
      <c r="J18" s="42" cm="1">
        <f t="array" ref="J18">INDEX(DAM!$103:$103,ROW(J16))+INDEX(RTM!$103:$103,ROW(J16))</f>
        <v>9399.9999999999982</v>
      </c>
      <c r="K18" s="42" cm="1">
        <f t="array" ref="K18">INDEX(DAM!$104:$104,ROW(K16))</f>
        <v>0</v>
      </c>
      <c r="L18" s="58">
        <f t="shared" si="4"/>
        <v>21149.999999999993</v>
      </c>
      <c r="M18" s="58">
        <f t="shared" si="3"/>
        <v>36449.9999999965</v>
      </c>
      <c r="N18" s="42">
        <v>7109.1</v>
      </c>
      <c r="O18" s="42"/>
      <c r="P18" s="42">
        <v>28432.350000000002</v>
      </c>
      <c r="Q18" s="42"/>
      <c r="R18" s="58">
        <f t="shared" si="5"/>
        <v>35541.450000000004</v>
      </c>
      <c r="S18" s="55">
        <f t="shared" si="0"/>
        <v>908.5499999964959</v>
      </c>
      <c r="T18" s="49">
        <f t="shared" si="1"/>
        <v>-908.5499999964959</v>
      </c>
    </row>
    <row r="19" spans="2:20" x14ac:dyDescent="0.25">
      <c r="B19" s="48">
        <v>46189</v>
      </c>
      <c r="C19" s="42">
        <f>+TNEB!$I28</f>
        <v>9600.0000000003638</v>
      </c>
      <c r="D19" s="42">
        <f>+TNEB!$L28</f>
        <v>9700.0000000002728</v>
      </c>
      <c r="E19" s="42">
        <f>+TNEB!$R28</f>
        <v>21700.000000000728</v>
      </c>
      <c r="F19" s="42">
        <f>+TNEB!$U28</f>
        <v>16200.000000001182</v>
      </c>
      <c r="G19" s="58">
        <f t="shared" si="2"/>
        <v>57200.000000002547</v>
      </c>
      <c r="H19" s="42" cm="1">
        <f t="array" ref="H19">INDEX(DAM!$100:$100,ROW(H17))+INDEX(RTM!$100:$100,ROW(H17))</f>
        <v>7519.9999999999973</v>
      </c>
      <c r="I19" s="42" cm="1">
        <f t="array" ref="I19">INDEX(DAM!$101:$101,ROW(I17))+INDEX(RTM!$101:$101,ROW(I17))</f>
        <v>3289.9999999999991</v>
      </c>
      <c r="J19" s="42" cm="1">
        <f t="array" ref="J19">INDEX(DAM!$103:$103,ROW(J17))+INDEX(RTM!$103:$103,ROW(J17))</f>
        <v>9399.9999999999982</v>
      </c>
      <c r="K19" s="42" cm="1">
        <f t="array" ref="K19">INDEX(DAM!$104:$104,ROW(K17))</f>
        <v>0</v>
      </c>
      <c r="L19" s="58">
        <f t="shared" si="4"/>
        <v>20209.999999999993</v>
      </c>
      <c r="M19" s="58">
        <f t="shared" si="3"/>
        <v>36990.000000002554</v>
      </c>
      <c r="N19" s="42">
        <v>7109.1</v>
      </c>
      <c r="O19" s="42"/>
      <c r="P19" s="42">
        <v>28432.350000000002</v>
      </c>
      <c r="Q19" s="42"/>
      <c r="R19" s="58">
        <f t="shared" si="5"/>
        <v>35541.450000000004</v>
      </c>
      <c r="S19" s="55">
        <f t="shared" si="0"/>
        <v>1448.5500000025495</v>
      </c>
      <c r="T19" s="49">
        <f t="shared" si="1"/>
        <v>-1448.5500000025495</v>
      </c>
    </row>
    <row r="20" spans="2:20" x14ac:dyDescent="0.25">
      <c r="B20" s="47">
        <v>46190</v>
      </c>
      <c r="C20" s="42">
        <f>+TNEB!$I29</f>
        <v>8899.9999999998636</v>
      </c>
      <c r="D20" s="42">
        <f>+TNEB!$L29</f>
        <v>7199.999999999136</v>
      </c>
      <c r="E20" s="42">
        <f>+TNEB!$R29</f>
        <v>15499.999999999545</v>
      </c>
      <c r="F20" s="42">
        <f>+TNEB!$U29</f>
        <v>14000.000000000909</v>
      </c>
      <c r="G20" s="58">
        <f t="shared" si="2"/>
        <v>45599.999999999454</v>
      </c>
      <c r="H20" s="42" cm="1">
        <f t="array" ref="H20">INDEX(DAM!$100:$100,ROW(H18))+INDEX(RTM!$100:$100,ROW(H18))</f>
        <v>7519.9999999999973</v>
      </c>
      <c r="I20" s="42" cm="1">
        <f t="array" ref="I20">INDEX(DAM!$101:$101,ROW(I18))+INDEX(RTM!$101:$101,ROW(I18))</f>
        <v>1410</v>
      </c>
      <c r="J20" s="42" cm="1">
        <f t="array" ref="J20">INDEX(DAM!$103:$103,ROW(J18))+INDEX(RTM!$103:$103,ROW(J18))</f>
        <v>8929.9999999999982</v>
      </c>
      <c r="K20" s="42" cm="1">
        <f t="array" ref="K20">INDEX(DAM!$104:$104,ROW(K18))</f>
        <v>0</v>
      </c>
      <c r="L20" s="58">
        <f t="shared" si="4"/>
        <v>17859.999999999993</v>
      </c>
      <c r="M20" s="58">
        <f t="shared" si="3"/>
        <v>27739.999999999462</v>
      </c>
      <c r="N20" s="42">
        <v>7109.1</v>
      </c>
      <c r="O20" s="42"/>
      <c r="P20" s="42">
        <v>28432.350000000002</v>
      </c>
      <c r="Q20" s="42"/>
      <c r="R20" s="58">
        <f t="shared" si="5"/>
        <v>35541.450000000004</v>
      </c>
      <c r="S20" s="55">
        <f t="shared" si="0"/>
        <v>-7801.4500000005428</v>
      </c>
      <c r="T20" s="49">
        <f t="shared" si="1"/>
        <v>7801.4500000005428</v>
      </c>
    </row>
    <row r="21" spans="2:20" x14ac:dyDescent="0.25">
      <c r="B21" s="48">
        <v>46191</v>
      </c>
      <c r="C21" s="42">
        <f>+TNEB!$I30</f>
        <v>8999.9999999997726</v>
      </c>
      <c r="D21" s="42">
        <f>+TNEB!$L30</f>
        <v>9800.0000000001819</v>
      </c>
      <c r="E21" s="42">
        <f>+TNEB!$R30</f>
        <v>20700.000000001637</v>
      </c>
      <c r="F21" s="42">
        <f>+TNEB!$U30</f>
        <v>15999.999999999091</v>
      </c>
      <c r="G21" s="58">
        <f t="shared" si="2"/>
        <v>55500.000000000684</v>
      </c>
      <c r="H21" s="42" cm="1">
        <f t="array" ref="H21">INDEX(DAM!$100:$100,ROW(H19))+INDEX(RTM!$100:$100,ROW(H19))</f>
        <v>6109.9999999999973</v>
      </c>
      <c r="I21" s="42" cm="1">
        <f t="array" ref="I21">INDEX(DAM!$101:$101,ROW(I19))+INDEX(RTM!$101:$101,ROW(I19))</f>
        <v>1880</v>
      </c>
      <c r="J21" s="42" cm="1">
        <f t="array" ref="J21">INDEX(DAM!$103:$103,ROW(J19))+INDEX(RTM!$103:$103,ROW(J19))</f>
        <v>8929.9999999999982</v>
      </c>
      <c r="K21" s="42" cm="1">
        <f t="array" ref="K21">INDEX(DAM!$104:$104,ROW(K19))</f>
        <v>0</v>
      </c>
      <c r="L21" s="58">
        <f t="shared" si="4"/>
        <v>16919.999999999996</v>
      </c>
      <c r="M21" s="58">
        <f t="shared" si="3"/>
        <v>38580.000000000684</v>
      </c>
      <c r="N21" s="42">
        <v>7109.1</v>
      </c>
      <c r="O21" s="42"/>
      <c r="P21" s="42">
        <v>28432.350000000002</v>
      </c>
      <c r="Q21" s="42"/>
      <c r="R21" s="58">
        <f t="shared" si="5"/>
        <v>35541.450000000004</v>
      </c>
      <c r="S21" s="55">
        <f t="shared" si="0"/>
        <v>3038.5500000006796</v>
      </c>
      <c r="T21" s="49">
        <f t="shared" si="1"/>
        <v>-3038.5500000006796</v>
      </c>
    </row>
    <row r="22" spans="2:20" x14ac:dyDescent="0.25">
      <c r="B22" s="47">
        <v>46192</v>
      </c>
      <c r="C22" s="42">
        <f>+TNEB!$I31</f>
        <v>9600.0000000003638</v>
      </c>
      <c r="D22" s="42">
        <f>+TNEB!$L31</f>
        <v>9099.9999999996817</v>
      </c>
      <c r="E22" s="42">
        <f>+TNEB!$R31</f>
        <v>20399.999999999636</v>
      </c>
      <c r="F22" s="42">
        <f>+TNEB!$U31</f>
        <v>15399.999999999636</v>
      </c>
      <c r="G22" s="58">
        <f t="shared" si="2"/>
        <v>54499.999999999316</v>
      </c>
      <c r="H22" s="42" cm="1">
        <f t="array" ref="H22">INDEX(DAM!$100:$100,ROW(H20))+INDEX(RTM!$100:$100,ROW(H20))</f>
        <v>5639.9999999999982</v>
      </c>
      <c r="I22" s="42" cm="1">
        <f t="array" ref="I22">INDEX(DAM!$101:$101,ROW(I20))+INDEX(RTM!$101:$101,ROW(I20))</f>
        <v>470</v>
      </c>
      <c r="J22" s="42" cm="1">
        <f t="array" ref="J22">INDEX(DAM!$103:$103,ROW(J20))+INDEX(RTM!$103:$103,ROW(J20))</f>
        <v>7989.9999999999964</v>
      </c>
      <c r="K22" s="42" cm="1">
        <f t="array" ref="K22">INDEX(DAM!$104:$104,ROW(K20))</f>
        <v>0</v>
      </c>
      <c r="L22" s="58">
        <f t="shared" si="4"/>
        <v>14099.999999999995</v>
      </c>
      <c r="M22" s="58">
        <f t="shared" si="3"/>
        <v>40399.999999999323</v>
      </c>
      <c r="N22" s="42">
        <v>7109.1</v>
      </c>
      <c r="O22" s="42"/>
      <c r="P22" s="42">
        <v>28432.350000000002</v>
      </c>
      <c r="Q22" s="42"/>
      <c r="R22" s="58">
        <f t="shared" si="5"/>
        <v>35541.450000000004</v>
      </c>
      <c r="S22" s="55">
        <f t="shared" si="0"/>
        <v>4858.549999999319</v>
      </c>
      <c r="T22" s="49">
        <f t="shared" si="1"/>
        <v>-4858.549999999319</v>
      </c>
    </row>
    <row r="23" spans="2:20" x14ac:dyDescent="0.25">
      <c r="B23" s="48">
        <v>46193</v>
      </c>
      <c r="C23" s="42">
        <f>+TNEB!$I32</f>
        <v>9499.9999999993179</v>
      </c>
      <c r="D23" s="42">
        <f>+TNEB!$L32</f>
        <v>9200.0000000007276</v>
      </c>
      <c r="E23" s="42">
        <f>+TNEB!$R32</f>
        <v>20999.999999999091</v>
      </c>
      <c r="F23" s="42">
        <f>+TNEB!$U32</f>
        <v>17000.000000000455</v>
      </c>
      <c r="G23" s="58">
        <f t="shared" si="2"/>
        <v>56699.999999999593</v>
      </c>
      <c r="H23" s="42" cm="1">
        <f t="array" ref="H23">INDEX(DAM!$100:$100,ROW(H21))+INDEX(RTM!$100:$100,ROW(H21))</f>
        <v>6109.9999999999973</v>
      </c>
      <c r="I23" s="42" cm="1">
        <f t="array" ref="I23">INDEX(DAM!$101:$101,ROW(I21))+INDEX(RTM!$101:$101,ROW(I21))</f>
        <v>940</v>
      </c>
      <c r="J23" s="42" cm="1">
        <f t="array" ref="J23">INDEX(DAM!$103:$103,ROW(J21))+INDEX(RTM!$103:$103,ROW(J21))</f>
        <v>8459.9999999999982</v>
      </c>
      <c r="K23" s="42" cm="1">
        <f t="array" ref="K23">INDEX(DAM!$104:$104,ROW(K21))</f>
        <v>0</v>
      </c>
      <c r="L23" s="58">
        <f t="shared" si="4"/>
        <v>15509.999999999996</v>
      </c>
      <c r="M23" s="58">
        <f t="shared" si="3"/>
        <v>41189.999999999593</v>
      </c>
      <c r="N23" s="42">
        <v>7109.1</v>
      </c>
      <c r="O23" s="42"/>
      <c r="P23" s="42">
        <v>28432.350000000002</v>
      </c>
      <c r="Q23" s="42"/>
      <c r="R23" s="58">
        <f t="shared" si="5"/>
        <v>35541.450000000004</v>
      </c>
      <c r="S23" s="55">
        <f t="shared" si="0"/>
        <v>5648.5499999995882</v>
      </c>
      <c r="T23" s="49">
        <f t="shared" si="1"/>
        <v>-5648.5499999995882</v>
      </c>
    </row>
    <row r="24" spans="2:20" x14ac:dyDescent="0.25">
      <c r="B24" s="47">
        <v>46194</v>
      </c>
      <c r="C24" s="42">
        <f>+TNEB!$I33</f>
        <v>7900.0000000007731</v>
      </c>
      <c r="D24" s="42">
        <f>+TNEB!$L33</f>
        <v>8600.0000000001364</v>
      </c>
      <c r="E24" s="42">
        <f>+TNEB!$R33</f>
        <v>17799.999999999727</v>
      </c>
      <c r="F24" s="42">
        <f>+TNEB!$U33</f>
        <v>15999.999999999091</v>
      </c>
      <c r="G24" s="58">
        <f t="shared" si="2"/>
        <v>50299.999999999731</v>
      </c>
      <c r="H24" s="42" cm="1">
        <f t="array" ref="H24">INDEX(DAM!$100:$100,ROW(H22))+INDEX(RTM!$100:$100,ROW(H22))</f>
        <v>6109.9999999999973</v>
      </c>
      <c r="I24" s="42" cm="1">
        <f t="array" ref="I24">INDEX(DAM!$101:$101,ROW(I22))+INDEX(RTM!$101:$101,ROW(I22))</f>
        <v>4699.9999999999982</v>
      </c>
      <c r="J24" s="42" cm="1">
        <f t="array" ref="J24">INDEX(DAM!$103:$103,ROW(J22))+INDEX(RTM!$103:$103,ROW(J22))</f>
        <v>14480.000000000004</v>
      </c>
      <c r="K24" s="42" cm="1">
        <f t="array" ref="K24">INDEX(DAM!$104:$104,ROW(K22))</f>
        <v>0</v>
      </c>
      <c r="L24" s="58">
        <f t="shared" si="4"/>
        <v>25290</v>
      </c>
      <c r="M24" s="58">
        <f t="shared" si="3"/>
        <v>25009.999999999731</v>
      </c>
      <c r="N24" s="42">
        <v>7109.1</v>
      </c>
      <c r="O24" s="42"/>
      <c r="P24" s="42">
        <v>28432.350000000002</v>
      </c>
      <c r="Q24" s="42"/>
      <c r="R24" s="58">
        <f t="shared" si="5"/>
        <v>35541.450000000004</v>
      </c>
      <c r="S24" s="55">
        <f t="shared" si="0"/>
        <v>-10531.450000000274</v>
      </c>
      <c r="T24" s="49">
        <f t="shared" si="1"/>
        <v>10531.450000000274</v>
      </c>
    </row>
    <row r="25" spans="2:20" x14ac:dyDescent="0.25">
      <c r="B25" s="48">
        <v>46195</v>
      </c>
      <c r="C25" s="42">
        <f>+TNEB!$I34</f>
        <v>9499.9999999993179</v>
      </c>
      <c r="D25" s="42">
        <f>+TNEB!$L34</f>
        <v>10099.999999999909</v>
      </c>
      <c r="E25" s="42">
        <f>+TNEB!$R34</f>
        <v>21000.000000001364</v>
      </c>
      <c r="F25" s="42">
        <f>+TNEB!$U34</f>
        <v>16600.000000000819</v>
      </c>
      <c r="G25" s="58">
        <f t="shared" si="2"/>
        <v>57200.000000001412</v>
      </c>
      <c r="H25" s="42" cm="1">
        <f t="array" ref="H25">INDEX(DAM!$100:$100,ROW(H23))+INDEX(RTM!$100:$100,ROW(H23))</f>
        <v>6109.9999999999982</v>
      </c>
      <c r="I25" s="42" cm="1">
        <f t="array" ref="I25">INDEX(DAM!$101:$101,ROW(I23))+INDEX(RTM!$101:$101,ROW(I23))</f>
        <v>3054.9999999999991</v>
      </c>
      <c r="J25" s="42" cm="1">
        <f t="array" ref="J25">INDEX(DAM!$103:$103,ROW(J23))+INDEX(RTM!$103:$103,ROW(J23))</f>
        <v>12690.000000000004</v>
      </c>
      <c r="K25" s="42" cm="1">
        <f t="array" ref="K25">INDEX(DAM!$104:$104,ROW(K23))</f>
        <v>0</v>
      </c>
      <c r="L25" s="58">
        <f t="shared" si="4"/>
        <v>21855</v>
      </c>
      <c r="M25" s="58">
        <f t="shared" si="3"/>
        <v>35345.000000001412</v>
      </c>
      <c r="N25" s="42">
        <v>7109.1</v>
      </c>
      <c r="O25" s="42"/>
      <c r="P25" s="42">
        <v>28432.350000000002</v>
      </c>
      <c r="Q25" s="42"/>
      <c r="R25" s="58">
        <f t="shared" si="5"/>
        <v>35541.450000000004</v>
      </c>
      <c r="S25" s="55">
        <f t="shared" si="0"/>
        <v>-196.44999999859283</v>
      </c>
      <c r="T25" s="49">
        <f t="shared" si="1"/>
        <v>196.44999999859283</v>
      </c>
    </row>
    <row r="26" spans="2:20" x14ac:dyDescent="0.25">
      <c r="B26" s="47">
        <v>46196</v>
      </c>
      <c r="C26" s="42">
        <f>+TNEB!$I35</f>
        <v>9200.0000000007276</v>
      </c>
      <c r="D26" s="42">
        <f>+TNEB!$L35</f>
        <v>9399.9999999994088</v>
      </c>
      <c r="E26" s="42">
        <f>+TNEB!$R35</f>
        <v>21599.999999998545</v>
      </c>
      <c r="F26" s="42">
        <f>+TNEB!$U35</f>
        <v>15899.999999999181</v>
      </c>
      <c r="G26" s="58">
        <f t="shared" si="2"/>
        <v>56099.999999997861</v>
      </c>
      <c r="H26" s="42" cm="1">
        <f t="array" ref="H26">INDEX(DAM!$100:$100,ROW(H24))+INDEX(RTM!$100:$100,ROW(H24))</f>
        <v>6814.9999999999973</v>
      </c>
      <c r="I26" s="42" cm="1">
        <f t="array" ref="I26">INDEX(DAM!$101:$101,ROW(I24))+INDEX(RTM!$101:$101,ROW(I24))</f>
        <v>2115</v>
      </c>
      <c r="J26" s="42" cm="1">
        <f t="array" ref="J26">INDEX(DAM!$103:$103,ROW(J24))+INDEX(RTM!$103:$103,ROW(J24))</f>
        <v>13630.000000000004</v>
      </c>
      <c r="K26" s="42" cm="1">
        <f t="array" ref="K26">INDEX(DAM!$104:$104,ROW(K24))</f>
        <v>0</v>
      </c>
      <c r="L26" s="58">
        <f t="shared" si="4"/>
        <v>22560</v>
      </c>
      <c r="M26" s="58">
        <f t="shared" si="3"/>
        <v>33539.999999997861</v>
      </c>
      <c r="N26" s="42">
        <v>7109.1</v>
      </c>
      <c r="O26" s="42"/>
      <c r="P26" s="42">
        <v>28432.350000000002</v>
      </c>
      <c r="Q26" s="42"/>
      <c r="R26" s="58">
        <f t="shared" si="5"/>
        <v>35541.450000000004</v>
      </c>
      <c r="S26" s="55">
        <f t="shared" si="0"/>
        <v>-2001.4500000021435</v>
      </c>
      <c r="T26" s="49">
        <f t="shared" si="1"/>
        <v>2001.4500000021435</v>
      </c>
    </row>
    <row r="27" spans="2:20" x14ac:dyDescent="0.25">
      <c r="B27" s="48">
        <v>46197</v>
      </c>
      <c r="C27" s="42">
        <f>+TNEB!$I36</f>
        <v>0</v>
      </c>
      <c r="D27" s="42">
        <f>+TNEB!$L36</f>
        <v>0</v>
      </c>
      <c r="E27" s="42">
        <f>+TNEB!$R36</f>
        <v>0</v>
      </c>
      <c r="F27" s="42">
        <f>+TNEB!$U36</f>
        <v>0</v>
      </c>
      <c r="G27" s="58">
        <f t="shared" si="2"/>
        <v>0</v>
      </c>
      <c r="H27" s="42" cm="1">
        <f t="array" ref="H27">INDEX(DAM!$100:$100,ROW(H25))+INDEX(RTM!$100:$100,ROW(H25))</f>
        <v>0</v>
      </c>
      <c r="I27" s="42" cm="1">
        <f t="array" ref="I27">INDEX(DAM!$101:$101,ROW(I25))+INDEX(RTM!$101:$101,ROW(I25))</f>
        <v>0</v>
      </c>
      <c r="J27" s="42" cm="1">
        <f t="array" ref="J27">INDEX(DAM!$103:$103,ROW(J25))+INDEX(RTM!$103:$103,ROW(J25))</f>
        <v>0</v>
      </c>
      <c r="K27" s="42" cm="1">
        <f t="array" ref="K27">INDEX(DAM!$104:$104,ROW(K25))</f>
        <v>0</v>
      </c>
      <c r="L27" s="58">
        <f t="shared" si="4"/>
        <v>0</v>
      </c>
      <c r="M27" s="58">
        <f t="shared" si="3"/>
        <v>0</v>
      </c>
      <c r="N27" s="42"/>
      <c r="O27" s="42"/>
      <c r="P27" s="42"/>
      <c r="Q27" s="42"/>
      <c r="R27" s="58">
        <f t="shared" si="5"/>
        <v>0</v>
      </c>
      <c r="S27" s="55">
        <f t="shared" si="0"/>
        <v>0</v>
      </c>
      <c r="T27" s="49">
        <f t="shared" si="1"/>
        <v>0</v>
      </c>
    </row>
    <row r="28" spans="2:20" x14ac:dyDescent="0.25">
      <c r="B28" s="47">
        <v>46198</v>
      </c>
      <c r="C28" s="42">
        <f>+TNEB!$I37</f>
        <v>0</v>
      </c>
      <c r="D28" s="42">
        <f>+TNEB!$L37</f>
        <v>0</v>
      </c>
      <c r="E28" s="42">
        <f>+TNEB!$R37</f>
        <v>0</v>
      </c>
      <c r="F28" s="42">
        <f>+TNEB!$U37</f>
        <v>0</v>
      </c>
      <c r="G28" s="58">
        <f t="shared" si="2"/>
        <v>0</v>
      </c>
      <c r="H28" s="42" cm="1">
        <f t="array" ref="H28">INDEX(DAM!$100:$100,ROW(H26))+INDEX(RTM!$100:$100,ROW(H26))</f>
        <v>0</v>
      </c>
      <c r="I28" s="42" cm="1">
        <f t="array" ref="I28">INDEX(DAM!$101:$101,ROW(I26))+INDEX(RTM!$101:$101,ROW(I26))</f>
        <v>0</v>
      </c>
      <c r="J28" s="42" cm="1">
        <f t="array" ref="J28">INDEX(DAM!$103:$103,ROW(J26))+INDEX(RTM!$103:$103,ROW(J26))</f>
        <v>0</v>
      </c>
      <c r="K28" s="42" cm="1">
        <f t="array" ref="K28">INDEX(DAM!$104:$104,ROW(K26))</f>
        <v>0</v>
      </c>
      <c r="L28" s="58">
        <f t="shared" si="4"/>
        <v>0</v>
      </c>
      <c r="M28" s="58">
        <f t="shared" si="3"/>
        <v>0</v>
      </c>
      <c r="N28" s="42"/>
      <c r="O28" s="43"/>
      <c r="P28" s="42"/>
      <c r="Q28" s="43"/>
      <c r="R28" s="58">
        <f t="shared" si="5"/>
        <v>0</v>
      </c>
      <c r="S28" s="55">
        <f t="shared" si="0"/>
        <v>0</v>
      </c>
      <c r="T28" s="49">
        <f t="shared" si="1"/>
        <v>0</v>
      </c>
    </row>
    <row r="29" spans="2:20" x14ac:dyDescent="0.25">
      <c r="B29" s="48">
        <v>46199</v>
      </c>
      <c r="C29" s="42">
        <f>+TNEB!$I38</f>
        <v>0</v>
      </c>
      <c r="D29" s="42">
        <f>+TNEB!$L38</f>
        <v>0</v>
      </c>
      <c r="E29" s="42">
        <f>+TNEB!$R38</f>
        <v>0</v>
      </c>
      <c r="F29" s="42">
        <f>+TNEB!$U38</f>
        <v>0</v>
      </c>
      <c r="G29" s="58">
        <f t="shared" si="2"/>
        <v>0</v>
      </c>
      <c r="H29" s="42" cm="1">
        <f t="array" ref="H29">INDEX(DAM!$100:$100,ROW(H27))+INDEX(RTM!$100:$100,ROW(H27))</f>
        <v>0</v>
      </c>
      <c r="I29" s="42" cm="1">
        <f t="array" ref="I29">INDEX(DAM!$101:$101,ROW(I27))+INDEX(RTM!$101:$101,ROW(I27))</f>
        <v>0</v>
      </c>
      <c r="J29" s="42" cm="1">
        <f t="array" ref="J29">INDEX(DAM!$103:$103,ROW(J27))+INDEX(RTM!$103:$103,ROW(J27))</f>
        <v>0</v>
      </c>
      <c r="K29" s="42" cm="1">
        <f t="array" ref="K29">INDEX(DAM!$104:$104,ROW(K27))</f>
        <v>0</v>
      </c>
      <c r="L29" s="58">
        <f t="shared" si="4"/>
        <v>0</v>
      </c>
      <c r="M29" s="58">
        <f t="shared" si="3"/>
        <v>0</v>
      </c>
      <c r="N29" s="42"/>
      <c r="O29" s="43"/>
      <c r="P29" s="42"/>
      <c r="Q29" s="43"/>
      <c r="R29" s="58">
        <f t="shared" si="5"/>
        <v>0</v>
      </c>
      <c r="S29" s="55">
        <f t="shared" si="0"/>
        <v>0</v>
      </c>
      <c r="T29" s="49">
        <f t="shared" si="1"/>
        <v>0</v>
      </c>
    </row>
    <row r="30" spans="2:20" x14ac:dyDescent="0.25">
      <c r="B30" s="47">
        <v>46200</v>
      </c>
      <c r="C30" s="42">
        <f>+TNEB!$I39</f>
        <v>0</v>
      </c>
      <c r="D30" s="42">
        <f>+TNEB!$L39</f>
        <v>0</v>
      </c>
      <c r="E30" s="42">
        <f>+TNEB!$R39</f>
        <v>0</v>
      </c>
      <c r="F30" s="42">
        <f>+TNEB!$U39</f>
        <v>0</v>
      </c>
      <c r="G30" s="58">
        <f t="shared" si="2"/>
        <v>0</v>
      </c>
      <c r="H30" s="42" cm="1">
        <f t="array" ref="H30">INDEX(DAM!$100:$100,ROW(H28))+INDEX(RTM!$100:$100,ROW(H28))</f>
        <v>0</v>
      </c>
      <c r="I30" s="42" cm="1">
        <f t="array" ref="I30">INDEX(DAM!$101:$101,ROW(I28))+INDEX(RTM!$101:$101,ROW(I28))</f>
        <v>0</v>
      </c>
      <c r="J30" s="42" cm="1">
        <f t="array" ref="J30">INDEX(DAM!$103:$103,ROW(J28))+INDEX(RTM!$103:$103,ROW(J28))</f>
        <v>0</v>
      </c>
      <c r="K30" s="42" cm="1">
        <f t="array" ref="K30">INDEX(DAM!$104:$104,ROW(K28))</f>
        <v>0</v>
      </c>
      <c r="L30" s="58">
        <f t="shared" si="4"/>
        <v>0</v>
      </c>
      <c r="M30" s="58">
        <f t="shared" si="3"/>
        <v>0</v>
      </c>
      <c r="N30" s="42"/>
      <c r="O30" s="43"/>
      <c r="P30" s="42"/>
      <c r="Q30" s="43"/>
      <c r="R30" s="58">
        <f t="shared" si="5"/>
        <v>0</v>
      </c>
      <c r="S30" s="55">
        <f t="shared" si="0"/>
        <v>0</v>
      </c>
      <c r="T30" s="49">
        <f t="shared" si="1"/>
        <v>0</v>
      </c>
    </row>
    <row r="31" spans="2:20" x14ac:dyDescent="0.25">
      <c r="B31" s="48">
        <v>46201</v>
      </c>
      <c r="C31" s="42">
        <f>+TNEB!$I40</f>
        <v>0</v>
      </c>
      <c r="D31" s="42">
        <f>+TNEB!$L40</f>
        <v>0</v>
      </c>
      <c r="E31" s="42">
        <f>+TNEB!$R40</f>
        <v>0</v>
      </c>
      <c r="F31" s="42">
        <f>+TNEB!$U40</f>
        <v>0</v>
      </c>
      <c r="G31" s="58">
        <f t="shared" si="2"/>
        <v>0</v>
      </c>
      <c r="H31" s="42" cm="1">
        <f t="array" ref="H31">INDEX(DAM!$100:$100,ROW(H29))+INDEX(RTM!$100:$100,ROW(H29))</f>
        <v>0</v>
      </c>
      <c r="I31" s="42" cm="1">
        <f t="array" ref="I31">INDEX(DAM!$101:$101,ROW(I29))+INDEX(RTM!$101:$101,ROW(I29))</f>
        <v>0</v>
      </c>
      <c r="J31" s="42" cm="1">
        <f t="array" ref="J31">INDEX(DAM!$103:$103,ROW(J29))+INDEX(RTM!$103:$103,ROW(J29))</f>
        <v>0</v>
      </c>
      <c r="K31" s="42" cm="1">
        <f t="array" ref="K31">INDEX(DAM!$104:$104,ROW(K29))</f>
        <v>0</v>
      </c>
      <c r="L31" s="58">
        <f t="shared" si="4"/>
        <v>0</v>
      </c>
      <c r="M31" s="58">
        <f t="shared" si="3"/>
        <v>0</v>
      </c>
      <c r="N31" s="42"/>
      <c r="O31" s="43"/>
      <c r="P31" s="42"/>
      <c r="Q31" s="43"/>
      <c r="R31" s="58">
        <f t="shared" ref="R31:R33" si="6">SUM(N31:Q31)</f>
        <v>0</v>
      </c>
      <c r="S31" s="55">
        <f t="shared" si="0"/>
        <v>0</v>
      </c>
      <c r="T31" s="49">
        <f t="shared" si="1"/>
        <v>0</v>
      </c>
    </row>
    <row r="32" spans="2:20" x14ac:dyDescent="0.25">
      <c r="B32" s="47">
        <v>46202</v>
      </c>
      <c r="C32" s="42">
        <f>+TNEB!$I41</f>
        <v>0</v>
      </c>
      <c r="D32" s="42">
        <f>+TNEB!$L41</f>
        <v>0</v>
      </c>
      <c r="E32" s="42">
        <f>+TNEB!$R41</f>
        <v>0</v>
      </c>
      <c r="F32" s="42">
        <f>+TNEB!$U41</f>
        <v>0</v>
      </c>
      <c r="G32" s="58">
        <f t="shared" si="2"/>
        <v>0</v>
      </c>
      <c r="H32" s="42" cm="1">
        <f t="array" ref="H32">INDEX(DAM!$100:$100,ROW(H30))+INDEX(RTM!$100:$100,ROW(H30))</f>
        <v>0</v>
      </c>
      <c r="I32" s="42" cm="1">
        <f t="array" ref="I32">INDEX(DAM!$101:$101,ROW(I30))+INDEX(RTM!$101:$101,ROW(I30))</f>
        <v>0</v>
      </c>
      <c r="J32" s="42" cm="1">
        <f t="array" ref="J32">INDEX(DAM!$103:$103,ROW(J30))+INDEX(RTM!$103:$103,ROW(J30))</f>
        <v>0</v>
      </c>
      <c r="K32" s="42" cm="1">
        <f t="array" ref="K32">INDEX(DAM!$104:$104,ROW(K30))</f>
        <v>0</v>
      </c>
      <c r="L32" s="58">
        <f t="shared" si="4"/>
        <v>0</v>
      </c>
      <c r="M32" s="58">
        <f t="shared" si="3"/>
        <v>0</v>
      </c>
      <c r="N32" s="42"/>
      <c r="O32" s="42"/>
      <c r="P32" s="42"/>
      <c r="Q32" s="42"/>
      <c r="R32" s="58">
        <f t="shared" si="6"/>
        <v>0</v>
      </c>
      <c r="S32" s="55">
        <f t="shared" si="0"/>
        <v>0</v>
      </c>
      <c r="T32" s="49">
        <f t="shared" si="1"/>
        <v>0</v>
      </c>
    </row>
    <row r="33" spans="2:22" x14ac:dyDescent="0.25">
      <c r="B33" s="48">
        <v>46203</v>
      </c>
      <c r="C33" s="50">
        <f>+TNEB!$I42</f>
        <v>0</v>
      </c>
      <c r="D33" s="50">
        <f>+TNEB!$L42</f>
        <v>0</v>
      </c>
      <c r="E33" s="50">
        <f>+TNEB!$R42</f>
        <v>0</v>
      </c>
      <c r="F33" s="50">
        <f>+TNEB!$U42</f>
        <v>0</v>
      </c>
      <c r="G33" s="58">
        <f t="shared" si="2"/>
        <v>0</v>
      </c>
      <c r="H33" s="50" cm="1">
        <f t="array" ref="H33">INDEX(DAM!$100:$100,ROW(H31))+INDEX(RTM!$100:$100,ROW(H31))</f>
        <v>0</v>
      </c>
      <c r="I33" s="50" cm="1">
        <f t="array" ref="I33">INDEX(DAM!$101:$101,ROW(I31))+INDEX(RTM!$101:$101,ROW(I31))</f>
        <v>0</v>
      </c>
      <c r="J33" s="50" cm="1">
        <f t="array" ref="J33">INDEX(DAM!$103:$103,ROW(J31))+INDEX(RTM!$103:$103,ROW(J31))</f>
        <v>0</v>
      </c>
      <c r="K33" s="50" cm="1">
        <f t="array" ref="K33">INDEX(DAM!$104:$104,ROW(K31))</f>
        <v>0</v>
      </c>
      <c r="L33" s="59">
        <f t="shared" si="4"/>
        <v>0</v>
      </c>
      <c r="M33" s="59">
        <f t="shared" si="3"/>
        <v>0</v>
      </c>
      <c r="N33" s="42"/>
      <c r="O33" s="42"/>
      <c r="P33" s="42"/>
      <c r="Q33" s="50"/>
      <c r="R33" s="58">
        <f t="shared" si="6"/>
        <v>0</v>
      </c>
      <c r="S33" s="55">
        <f t="shared" si="0"/>
        <v>0</v>
      </c>
      <c r="T33" s="49">
        <f t="shared" si="1"/>
        <v>0</v>
      </c>
    </row>
    <row r="34" spans="2:22" ht="13.5" thickBot="1" x14ac:dyDescent="0.3">
      <c r="B34" s="47">
        <v>46204</v>
      </c>
      <c r="C34" s="50">
        <f>+TNEB!$I43</f>
        <v>0</v>
      </c>
      <c r="D34" s="50">
        <f>+TNEB!$L43</f>
        <v>0</v>
      </c>
      <c r="E34" s="50">
        <f>+TNEB!$R43</f>
        <v>0</v>
      </c>
      <c r="F34" s="50">
        <f>+TNEB!$U43</f>
        <v>0</v>
      </c>
      <c r="G34" s="58">
        <f t="shared" ref="G34" si="7">SUM(C34:F34)</f>
        <v>0</v>
      </c>
      <c r="H34" s="50" cm="1">
        <f t="array" ref="H34">INDEX(DAM!$100:$100,ROW(H32))+INDEX(RTM!$100:$100,ROW(H32))</f>
        <v>0</v>
      </c>
      <c r="I34" s="50" cm="1">
        <f t="array" ref="I34">INDEX(DAM!$101:$101,ROW(I32))+INDEX(RTM!$101:$101,ROW(I32))</f>
        <v>0</v>
      </c>
      <c r="J34" s="50" cm="1">
        <f t="array" ref="J34">INDEX(DAM!$103:$103,ROW(J32))+INDEX(RTM!$103:$103,ROW(J32))</f>
        <v>0</v>
      </c>
      <c r="K34" s="50" cm="1">
        <f t="array" ref="K34">INDEX(DAM!$104:$104,ROW(K32))</f>
        <v>0</v>
      </c>
      <c r="L34" s="59">
        <f t="shared" ref="L34" si="8">SUM(H34:K34)</f>
        <v>0</v>
      </c>
      <c r="M34" s="59">
        <f t="shared" ref="M34" si="9">+G34-L34</f>
        <v>0</v>
      </c>
      <c r="N34" s="42"/>
      <c r="O34" s="42"/>
      <c r="P34" s="42"/>
      <c r="Q34" s="50"/>
      <c r="R34" s="58">
        <f t="shared" ref="R34" si="10">SUM(N34:Q34)</f>
        <v>0</v>
      </c>
      <c r="S34" s="55">
        <f t="shared" ref="S34" si="11">G34-L34-R34</f>
        <v>0</v>
      </c>
      <c r="T34" s="49">
        <f t="shared" ref="T34" si="12">R34-M34</f>
        <v>0</v>
      </c>
    </row>
    <row r="35" spans="2:22" ht="29.25" customHeight="1" thickBot="1" x14ac:dyDescent="0.3">
      <c r="B35" s="51"/>
      <c r="C35" s="54"/>
      <c r="D35" s="54"/>
      <c r="E35" s="54"/>
      <c r="F35" s="54"/>
      <c r="G35" s="52">
        <f>SUM(G4:G34)</f>
        <v>1251299.9999999977</v>
      </c>
      <c r="H35" s="54"/>
      <c r="I35" s="54"/>
      <c r="J35" s="54"/>
      <c r="K35" s="52"/>
      <c r="L35" s="52">
        <f>SUM(L4:L34)</f>
        <v>441005</v>
      </c>
      <c r="M35" s="52">
        <f>SUM(M4:M34)</f>
        <v>810294.99999999767</v>
      </c>
      <c r="N35" s="54">
        <f>SUM(N4:N34)</f>
        <v>163509.30000000008</v>
      </c>
      <c r="O35" s="54"/>
      <c r="P35" s="54">
        <f>SUM(P4:P34)</f>
        <v>653944.0499999997</v>
      </c>
      <c r="Q35" s="52"/>
      <c r="R35" s="53">
        <f>SUM(R4:R34)</f>
        <v>817453.34999999974</v>
      </c>
      <c r="S35" s="56" cm="1">
        <f t="array" ref="S35">SUMPRODUCT((VALUE(S4:S34)&gt;0)*VALUE(S4:S34))</f>
        <v>49311.150000000358</v>
      </c>
      <c r="T35" s="56" cm="1">
        <f t="array" ref="T35">SUMPRODUCT((VALUE(T4:T34)&gt;0)*VALUE(T4:T34))</f>
        <v>56469.500000002714</v>
      </c>
      <c r="V35" s="56"/>
    </row>
    <row r="37" spans="2:22" x14ac:dyDescent="0.25">
      <c r="Q37" s="76"/>
      <c r="R37" s="76"/>
      <c r="S37" s="60"/>
    </row>
    <row r="39" spans="2:22" ht="15.75" x14ac:dyDescent="0.25">
      <c r="Q39" s="67" t="s">
        <v>123</v>
      </c>
      <c r="S39" s="69"/>
    </row>
    <row r="40" spans="2:22" x14ac:dyDescent="0.25">
      <c r="M40" s="60"/>
      <c r="N40" s="60"/>
      <c r="O40" s="60"/>
      <c r="P40" s="60"/>
      <c r="Q40" s="60"/>
      <c r="R40" s="60"/>
    </row>
    <row r="41" spans="2:22" x14ac:dyDescent="0.25">
      <c r="M41" s="60"/>
      <c r="N41" s="60"/>
      <c r="O41" s="60"/>
      <c r="P41" s="60"/>
      <c r="Q41" s="60"/>
      <c r="R41" s="61"/>
    </row>
    <row r="42" spans="2:22" ht="15.75" x14ac:dyDescent="0.25">
      <c r="M42" s="60"/>
      <c r="N42" s="60"/>
      <c r="O42" s="60"/>
      <c r="P42" s="60"/>
      <c r="Q42" s="67" t="s">
        <v>124</v>
      </c>
      <c r="R42" s="60"/>
      <c r="S42" s="68"/>
    </row>
    <row r="43" spans="2:22" x14ac:dyDescent="0.25">
      <c r="M43" s="60"/>
      <c r="N43" s="60"/>
      <c r="O43" s="60"/>
      <c r="P43" s="60"/>
      <c r="Q43" s="60"/>
      <c r="R43" s="61"/>
    </row>
    <row r="44" spans="2:22" s="5" customFormat="1" ht="26.25" customHeight="1" x14ac:dyDescent="0.25">
      <c r="C44" s="62"/>
      <c r="D44" s="62"/>
      <c r="E44" s="62"/>
      <c r="F44" s="62"/>
      <c r="G44" s="63"/>
      <c r="H44" s="62"/>
      <c r="I44" s="62"/>
      <c r="J44" s="62"/>
      <c r="K44" s="62"/>
      <c r="L44" s="63"/>
      <c r="M44" s="75"/>
      <c r="N44" s="75"/>
      <c r="O44" s="75"/>
      <c r="P44" s="75"/>
      <c r="Q44" s="75"/>
      <c r="R44" s="64">
        <f>R40-R42</f>
        <v>0</v>
      </c>
      <c r="S44" s="62"/>
      <c r="T44" s="65"/>
    </row>
    <row r="46" spans="2:22" x14ac:dyDescent="0.25">
      <c r="U46" s="66"/>
    </row>
    <row r="51" spans="14:19" x14ac:dyDescent="0.25">
      <c r="S51" s="2">
        <f>R35*6.65</f>
        <v>5436064.7774999989</v>
      </c>
    </row>
    <row r="52" spans="14:19" x14ac:dyDescent="0.25">
      <c r="N52" s="2">
        <f>N35*9.375</f>
        <v>1532899.6875000007</v>
      </c>
      <c r="P52" s="2">
        <f>P35*7.5</f>
        <v>4904580.3749999981</v>
      </c>
    </row>
    <row r="55" spans="14:19" x14ac:dyDescent="0.25">
      <c r="P55" s="2">
        <f>N52+P52</f>
        <v>6437480.0624999991</v>
      </c>
    </row>
    <row r="57" spans="14:19" x14ac:dyDescent="0.25">
      <c r="P57" s="2">
        <f>P55-S51</f>
        <v>1001415.2850000001</v>
      </c>
    </row>
  </sheetData>
  <mergeCells count="8">
    <mergeCell ref="T2:T3"/>
    <mergeCell ref="C2:G2"/>
    <mergeCell ref="N2:R2"/>
    <mergeCell ref="B2:B3"/>
    <mergeCell ref="S2:S3"/>
    <mergeCell ref="H2:L2"/>
    <mergeCell ref="M44:Q44"/>
    <mergeCell ref="Q37:R37"/>
  </mergeCells>
  <conditionalFormatting sqref="T4:T34">
    <cfRule type="cellIs" priority="1" operator="equal">
      <formula>$S4</formula>
    </cfRule>
  </conditionalFormatting>
  <pageMargins left="0.7" right="0.7" top="0.75" bottom="0.75" header="0.3" footer="0.3"/>
  <pageSetup orientation="portrait" r:id="rId1"/>
  <ignoredErrors>
    <ignoredError sqref="G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E05B-37CA-4A7F-A8CE-D69136E890A7}">
  <dimension ref="A1:AH106"/>
  <sheetViews>
    <sheetView topLeftCell="C85" workbookViewId="0">
      <selection activeCell="W3" sqref="W3:X98"/>
    </sheetView>
  </sheetViews>
  <sheetFormatPr defaultRowHeight="12.75" x14ac:dyDescent="0.25"/>
  <cols>
    <col min="1" max="1" width="13.5703125" customWidth="1"/>
  </cols>
  <sheetData>
    <row r="1" spans="1:32" ht="15" x14ac:dyDescent="0.25">
      <c r="A1" s="3" t="s">
        <v>8</v>
      </c>
    </row>
    <row r="2" spans="1:32" ht="15" x14ac:dyDescent="0.25">
      <c r="A2" s="4" t="s">
        <v>9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</row>
    <row r="3" spans="1:32" ht="15" x14ac:dyDescent="0.25">
      <c r="A3" s="6" t="s">
        <v>10</v>
      </c>
      <c r="B3" s="39">
        <v>0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/>
      <c r="Z3" s="39"/>
      <c r="AA3" s="39"/>
      <c r="AB3" s="39"/>
      <c r="AC3" s="39"/>
      <c r="AD3" s="39"/>
      <c r="AE3" s="39"/>
      <c r="AF3" s="7"/>
    </row>
    <row r="4" spans="1:32" ht="15" x14ac:dyDescent="0.25">
      <c r="A4" s="6" t="s">
        <v>11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/>
      <c r="Z4" s="39"/>
      <c r="AA4" s="39"/>
      <c r="AB4" s="39"/>
      <c r="AC4" s="39"/>
      <c r="AD4" s="39"/>
      <c r="AE4" s="39"/>
      <c r="AF4" s="7"/>
    </row>
    <row r="5" spans="1:32" ht="15" x14ac:dyDescent="0.25">
      <c r="A5" s="6" t="s">
        <v>12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/>
      <c r="Z5" s="39"/>
      <c r="AA5" s="39"/>
      <c r="AB5" s="39"/>
      <c r="AC5" s="39"/>
      <c r="AD5" s="39"/>
      <c r="AE5" s="39"/>
      <c r="AF5" s="7"/>
    </row>
    <row r="6" spans="1:32" ht="15" x14ac:dyDescent="0.25">
      <c r="A6" s="6" t="s">
        <v>13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/>
      <c r="Z6" s="39"/>
      <c r="AA6" s="39"/>
      <c r="AB6" s="39"/>
      <c r="AC6" s="39"/>
      <c r="AD6" s="39"/>
      <c r="AE6" s="39"/>
      <c r="AF6" s="7"/>
    </row>
    <row r="7" spans="1:32" ht="15" x14ac:dyDescent="0.25">
      <c r="A7" s="6" t="s">
        <v>14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/>
      <c r="Z7" s="39"/>
      <c r="AA7" s="39"/>
      <c r="AB7" s="39"/>
      <c r="AC7" s="39"/>
      <c r="AD7" s="39"/>
      <c r="AE7" s="39"/>
      <c r="AF7" s="7"/>
    </row>
    <row r="8" spans="1:32" ht="15" x14ac:dyDescent="0.25">
      <c r="A8" s="6" t="s">
        <v>15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/>
      <c r="Z8" s="39"/>
      <c r="AA8" s="39"/>
      <c r="AB8" s="39"/>
      <c r="AC8" s="39"/>
      <c r="AD8" s="39"/>
      <c r="AE8" s="39"/>
      <c r="AF8" s="7"/>
    </row>
    <row r="9" spans="1:32" ht="15" x14ac:dyDescent="0.25">
      <c r="A9" s="6" t="s">
        <v>16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/>
      <c r="Z9" s="39"/>
      <c r="AA9" s="39"/>
      <c r="AB9" s="39"/>
      <c r="AC9" s="39"/>
      <c r="AD9" s="39"/>
      <c r="AE9" s="39"/>
      <c r="AF9" s="7"/>
    </row>
    <row r="10" spans="1:32" ht="15" x14ac:dyDescent="0.25">
      <c r="A10" s="6" t="s">
        <v>17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0</v>
      </c>
      <c r="Y10" s="39"/>
      <c r="Z10" s="39"/>
      <c r="AA10" s="39"/>
      <c r="AB10" s="39"/>
      <c r="AC10" s="39"/>
      <c r="AD10" s="39"/>
      <c r="AE10" s="39"/>
      <c r="AF10" s="7"/>
    </row>
    <row r="11" spans="1:32" ht="15" x14ac:dyDescent="0.25">
      <c r="A11" s="6" t="s">
        <v>18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/>
      <c r="Z11" s="39"/>
      <c r="AA11" s="39"/>
      <c r="AB11" s="39"/>
      <c r="AC11" s="39"/>
      <c r="AD11" s="39"/>
      <c r="AE11" s="39"/>
      <c r="AF11" s="7"/>
    </row>
    <row r="12" spans="1:32" ht="15" x14ac:dyDescent="0.25">
      <c r="A12" s="6" t="s">
        <v>19</v>
      </c>
      <c r="B12" s="39">
        <v>0</v>
      </c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/>
      <c r="Z12" s="39"/>
      <c r="AA12" s="39"/>
      <c r="AB12" s="39"/>
      <c r="AC12" s="39"/>
      <c r="AD12" s="39"/>
      <c r="AE12" s="39"/>
      <c r="AF12" s="7"/>
    </row>
    <row r="13" spans="1:32" ht="15" x14ac:dyDescent="0.25">
      <c r="A13" s="6" t="s">
        <v>20</v>
      </c>
      <c r="B13" s="39">
        <v>0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/>
      <c r="Z13" s="39"/>
      <c r="AA13" s="39"/>
      <c r="AB13" s="39"/>
      <c r="AC13" s="39"/>
      <c r="AD13" s="39"/>
      <c r="AE13" s="39"/>
      <c r="AF13" s="7"/>
    </row>
    <row r="14" spans="1:32" ht="15" x14ac:dyDescent="0.25">
      <c r="A14" s="6" t="s">
        <v>21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/>
      <c r="Z14" s="39"/>
      <c r="AA14" s="39"/>
      <c r="AB14" s="39"/>
      <c r="AC14" s="39"/>
      <c r="AD14" s="39"/>
      <c r="AE14" s="39"/>
      <c r="AF14" s="7"/>
    </row>
    <row r="15" spans="1:32" ht="15" x14ac:dyDescent="0.25">
      <c r="A15" s="6" t="s">
        <v>22</v>
      </c>
      <c r="B15" s="39">
        <v>0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/>
      <c r="Z15" s="39"/>
      <c r="AA15" s="39"/>
      <c r="AB15" s="39"/>
      <c r="AC15" s="39"/>
      <c r="AD15" s="39"/>
      <c r="AE15" s="39"/>
      <c r="AF15" s="7"/>
    </row>
    <row r="16" spans="1:32" ht="15" x14ac:dyDescent="0.25">
      <c r="A16" s="6" t="s">
        <v>23</v>
      </c>
      <c r="B16" s="39">
        <v>0</v>
      </c>
      <c r="C16" s="39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/>
      <c r="Z16" s="39"/>
      <c r="AA16" s="39"/>
      <c r="AB16" s="39"/>
      <c r="AC16" s="39"/>
      <c r="AD16" s="39"/>
      <c r="AE16" s="39"/>
      <c r="AF16" s="7"/>
    </row>
    <row r="17" spans="1:32" ht="15" x14ac:dyDescent="0.25">
      <c r="A17" s="6" t="s">
        <v>24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/>
      <c r="Z17" s="39"/>
      <c r="AA17" s="39"/>
      <c r="AB17" s="39"/>
      <c r="AC17" s="39"/>
      <c r="AD17" s="39"/>
      <c r="AE17" s="39"/>
      <c r="AF17" s="7"/>
    </row>
    <row r="18" spans="1:32" ht="15" x14ac:dyDescent="0.25">
      <c r="A18" s="6" t="s">
        <v>25</v>
      </c>
      <c r="B18" s="39">
        <v>0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/>
      <c r="Z18" s="39"/>
      <c r="AA18" s="39"/>
      <c r="AB18" s="39"/>
      <c r="AC18" s="39"/>
      <c r="AD18" s="39"/>
      <c r="AE18" s="39"/>
      <c r="AF18" s="7"/>
    </row>
    <row r="19" spans="1:32" ht="15" x14ac:dyDescent="0.25">
      <c r="A19" s="6" t="s">
        <v>26</v>
      </c>
      <c r="B19" s="39">
        <v>0</v>
      </c>
      <c r="C19" s="39">
        <v>0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/>
      <c r="Z19" s="39"/>
      <c r="AA19" s="39"/>
      <c r="AB19" s="39"/>
      <c r="AC19" s="39"/>
      <c r="AD19" s="39"/>
      <c r="AE19" s="39"/>
      <c r="AF19" s="7"/>
    </row>
    <row r="20" spans="1:32" ht="15" x14ac:dyDescent="0.25">
      <c r="A20" s="6" t="s">
        <v>27</v>
      </c>
      <c r="B20" s="39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/>
      <c r="Z20" s="39"/>
      <c r="AA20" s="39"/>
      <c r="AB20" s="39"/>
      <c r="AC20" s="39"/>
      <c r="AD20" s="39"/>
      <c r="AE20" s="39"/>
      <c r="AF20" s="7"/>
    </row>
    <row r="21" spans="1:32" ht="15" x14ac:dyDescent="0.25">
      <c r="A21" s="6" t="s">
        <v>28</v>
      </c>
      <c r="B21" s="39">
        <v>0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/>
      <c r="Z21" s="39"/>
      <c r="AA21" s="39"/>
      <c r="AB21" s="39"/>
      <c r="AC21" s="39"/>
      <c r="AD21" s="39"/>
      <c r="AE21" s="39"/>
      <c r="AF21" s="7"/>
    </row>
    <row r="22" spans="1:32" ht="15" x14ac:dyDescent="0.25">
      <c r="A22" s="6" t="s">
        <v>29</v>
      </c>
      <c r="B22" s="39">
        <v>0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/>
      <c r="Z22" s="39"/>
      <c r="AA22" s="39"/>
      <c r="AB22" s="39"/>
      <c r="AC22" s="39"/>
      <c r="AD22" s="39"/>
      <c r="AE22" s="39"/>
      <c r="AF22" s="7"/>
    </row>
    <row r="23" spans="1:32" ht="15" x14ac:dyDescent="0.25">
      <c r="A23" s="6" t="s">
        <v>30</v>
      </c>
      <c r="B23" s="39">
        <v>0</v>
      </c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/>
      <c r="Z23" s="39"/>
      <c r="AA23" s="39"/>
      <c r="AB23" s="39"/>
      <c r="AC23" s="39"/>
      <c r="AD23" s="39"/>
      <c r="AE23" s="39"/>
      <c r="AF23" s="7"/>
    </row>
    <row r="24" spans="1:32" ht="15" x14ac:dyDescent="0.25">
      <c r="A24" s="6" t="s">
        <v>31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/>
      <c r="Z24" s="39"/>
      <c r="AA24" s="39"/>
      <c r="AB24" s="39"/>
      <c r="AC24" s="39"/>
      <c r="AD24" s="39"/>
      <c r="AE24" s="39"/>
      <c r="AF24" s="7"/>
    </row>
    <row r="25" spans="1:32" ht="15" x14ac:dyDescent="0.25">
      <c r="A25" s="6" t="s">
        <v>32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/>
      <c r="Z25" s="39"/>
      <c r="AA25" s="39"/>
      <c r="AB25" s="39"/>
      <c r="AC25" s="39"/>
      <c r="AD25" s="39"/>
      <c r="AE25" s="39"/>
      <c r="AF25" s="7"/>
    </row>
    <row r="26" spans="1:32" ht="15" x14ac:dyDescent="0.25">
      <c r="A26" s="6" t="s">
        <v>33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/>
      <c r="Z26" s="39"/>
      <c r="AA26" s="39"/>
      <c r="AB26" s="39"/>
      <c r="AC26" s="39"/>
      <c r="AD26" s="39"/>
      <c r="AE26" s="39"/>
      <c r="AF26" s="7"/>
    </row>
    <row r="27" spans="1:32" ht="15" x14ac:dyDescent="0.25">
      <c r="A27" s="6" t="s">
        <v>34</v>
      </c>
      <c r="B27" s="39">
        <v>1.88</v>
      </c>
      <c r="C27" s="39">
        <v>1.88</v>
      </c>
      <c r="D27" s="39">
        <v>1.88</v>
      </c>
      <c r="E27" s="39">
        <v>1.88</v>
      </c>
      <c r="F27" s="39">
        <v>0</v>
      </c>
      <c r="G27" s="39">
        <v>1.88</v>
      </c>
      <c r="H27" s="39">
        <v>1.88</v>
      </c>
      <c r="I27" s="39">
        <v>1.88</v>
      </c>
      <c r="J27" s="39">
        <v>0</v>
      </c>
      <c r="K27" s="39">
        <v>1.88</v>
      </c>
      <c r="L27" s="39">
        <v>1.88</v>
      </c>
      <c r="M27" s="39">
        <v>1.88</v>
      </c>
      <c r="N27" s="39">
        <v>1.88</v>
      </c>
      <c r="O27" s="39">
        <v>1.88</v>
      </c>
      <c r="P27" s="39">
        <v>1.88</v>
      </c>
      <c r="Q27" s="39">
        <v>1.88</v>
      </c>
      <c r="R27" s="39">
        <v>1.88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/>
      <c r="Z27" s="39"/>
      <c r="AA27" s="39"/>
      <c r="AB27" s="39"/>
      <c r="AC27" s="39"/>
      <c r="AD27" s="39"/>
      <c r="AE27" s="39"/>
      <c r="AF27" s="7"/>
    </row>
    <row r="28" spans="1:32" ht="15" x14ac:dyDescent="0.25">
      <c r="A28" s="6" t="s">
        <v>35</v>
      </c>
      <c r="B28" s="39">
        <v>1.88</v>
      </c>
      <c r="C28" s="39">
        <v>1.88</v>
      </c>
      <c r="D28" s="39">
        <v>1.88</v>
      </c>
      <c r="E28" s="39">
        <v>1.88</v>
      </c>
      <c r="F28" s="39">
        <v>1.88</v>
      </c>
      <c r="G28" s="39">
        <v>1.88</v>
      </c>
      <c r="H28" s="39">
        <v>1.88</v>
      </c>
      <c r="I28" s="39">
        <v>1.88</v>
      </c>
      <c r="J28" s="39">
        <v>0.94</v>
      </c>
      <c r="K28" s="39">
        <v>1.88</v>
      </c>
      <c r="L28" s="39">
        <v>1.88</v>
      </c>
      <c r="M28" s="39">
        <v>1.88</v>
      </c>
      <c r="N28" s="39">
        <v>1.88</v>
      </c>
      <c r="O28" s="39">
        <v>1.88</v>
      </c>
      <c r="P28" s="39">
        <v>1.88</v>
      </c>
      <c r="Q28" s="39">
        <v>1.88</v>
      </c>
      <c r="R28" s="39">
        <v>1.88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/>
      <c r="Z28" s="39"/>
      <c r="AA28" s="39"/>
      <c r="AB28" s="39"/>
      <c r="AC28" s="39"/>
      <c r="AD28" s="39"/>
      <c r="AE28" s="39"/>
      <c r="AF28" s="7"/>
    </row>
    <row r="29" spans="1:32" ht="15" x14ac:dyDescent="0.25">
      <c r="A29" s="6" t="s">
        <v>36</v>
      </c>
      <c r="B29" s="39">
        <v>1.88</v>
      </c>
      <c r="C29" s="39">
        <v>1.88</v>
      </c>
      <c r="D29" s="39">
        <v>1.88</v>
      </c>
      <c r="E29" s="39">
        <v>1.88</v>
      </c>
      <c r="F29" s="39">
        <v>1.88</v>
      </c>
      <c r="G29" s="39">
        <v>1.88</v>
      </c>
      <c r="H29" s="39">
        <v>1.88</v>
      </c>
      <c r="I29" s="39">
        <v>1.88</v>
      </c>
      <c r="J29" s="39">
        <v>0.94</v>
      </c>
      <c r="K29" s="39">
        <v>1.88</v>
      </c>
      <c r="L29" s="39">
        <v>1.88</v>
      </c>
      <c r="M29" s="39">
        <v>1.88</v>
      </c>
      <c r="N29" s="39">
        <v>1.88</v>
      </c>
      <c r="O29" s="39">
        <v>1.88</v>
      </c>
      <c r="P29" s="39">
        <v>1.88</v>
      </c>
      <c r="Q29" s="39">
        <v>1.88</v>
      </c>
      <c r="R29" s="39">
        <v>1.88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/>
      <c r="Z29" s="39"/>
      <c r="AA29" s="39"/>
      <c r="AB29" s="39"/>
      <c r="AC29" s="39"/>
      <c r="AD29" s="39"/>
      <c r="AE29" s="39"/>
      <c r="AF29" s="7"/>
    </row>
    <row r="30" spans="1:32" ht="15" x14ac:dyDescent="0.25">
      <c r="A30" s="6" t="s">
        <v>37</v>
      </c>
      <c r="B30" s="39">
        <v>1.88</v>
      </c>
      <c r="C30" s="39">
        <v>1.88</v>
      </c>
      <c r="D30" s="39">
        <v>1.88</v>
      </c>
      <c r="E30" s="39">
        <v>1.88</v>
      </c>
      <c r="F30" s="39">
        <v>1.88</v>
      </c>
      <c r="G30" s="39">
        <v>1.88</v>
      </c>
      <c r="H30" s="39">
        <v>1.88</v>
      </c>
      <c r="I30" s="39">
        <v>1.88</v>
      </c>
      <c r="J30" s="39">
        <v>0.94</v>
      </c>
      <c r="K30" s="39">
        <v>1.88</v>
      </c>
      <c r="L30" s="39">
        <v>1.88</v>
      </c>
      <c r="M30" s="39">
        <v>1.88</v>
      </c>
      <c r="N30" s="39">
        <v>1.88</v>
      </c>
      <c r="O30" s="39">
        <v>1.88</v>
      </c>
      <c r="P30" s="39">
        <v>1.88</v>
      </c>
      <c r="Q30" s="39">
        <v>1.88</v>
      </c>
      <c r="R30" s="39">
        <v>1.88</v>
      </c>
      <c r="S30" s="39">
        <v>1.88</v>
      </c>
      <c r="T30" s="39">
        <v>0</v>
      </c>
      <c r="U30" s="39">
        <v>1.88</v>
      </c>
      <c r="V30" s="39">
        <v>0.94</v>
      </c>
      <c r="W30" s="39">
        <v>0</v>
      </c>
      <c r="X30" s="39">
        <v>0.94</v>
      </c>
      <c r="Y30" s="39"/>
      <c r="Z30" s="39"/>
      <c r="AA30" s="39"/>
      <c r="AB30" s="39"/>
      <c r="AC30" s="39"/>
      <c r="AD30" s="39"/>
      <c r="AE30" s="39"/>
      <c r="AF30" s="7"/>
    </row>
    <row r="31" spans="1:32" ht="15" x14ac:dyDescent="0.25">
      <c r="A31" s="6" t="s">
        <v>38</v>
      </c>
      <c r="B31" s="39">
        <v>1.88</v>
      </c>
      <c r="C31" s="39">
        <v>1.88</v>
      </c>
      <c r="D31" s="39">
        <v>1.88</v>
      </c>
      <c r="E31" s="39">
        <v>1.88</v>
      </c>
      <c r="F31" s="39">
        <v>1.88</v>
      </c>
      <c r="G31" s="39">
        <v>1.88</v>
      </c>
      <c r="H31" s="39">
        <v>1.88</v>
      </c>
      <c r="I31" s="39">
        <v>1.88</v>
      </c>
      <c r="J31" s="39">
        <v>0.94</v>
      </c>
      <c r="K31" s="39">
        <v>1.88</v>
      </c>
      <c r="L31" s="39">
        <v>1.88</v>
      </c>
      <c r="M31" s="39">
        <v>1.88</v>
      </c>
      <c r="N31" s="39">
        <v>1.88</v>
      </c>
      <c r="O31" s="39">
        <v>1.88</v>
      </c>
      <c r="P31" s="39">
        <v>1.88</v>
      </c>
      <c r="Q31" s="39">
        <v>1.88</v>
      </c>
      <c r="R31" s="39">
        <v>1.88</v>
      </c>
      <c r="S31" s="39">
        <v>1.88</v>
      </c>
      <c r="T31" s="39">
        <v>1.88</v>
      </c>
      <c r="U31" s="39">
        <v>1.88</v>
      </c>
      <c r="V31" s="39">
        <v>0.94</v>
      </c>
      <c r="W31" s="39">
        <v>0.94</v>
      </c>
      <c r="X31" s="39">
        <v>0.94</v>
      </c>
      <c r="Y31" s="39"/>
      <c r="Z31" s="39"/>
      <c r="AA31" s="39"/>
      <c r="AB31" s="39"/>
      <c r="AC31" s="39"/>
      <c r="AD31" s="39"/>
      <c r="AE31" s="39"/>
      <c r="AF31" s="7"/>
    </row>
    <row r="32" spans="1:32" ht="15" x14ac:dyDescent="0.25">
      <c r="A32" s="6" t="s">
        <v>39</v>
      </c>
      <c r="B32" s="39">
        <v>1.88</v>
      </c>
      <c r="C32" s="39">
        <v>1.88</v>
      </c>
      <c r="D32" s="39">
        <v>1.88</v>
      </c>
      <c r="E32" s="39">
        <v>1.88</v>
      </c>
      <c r="F32" s="39">
        <v>1.88</v>
      </c>
      <c r="G32" s="39">
        <v>1.88</v>
      </c>
      <c r="H32" s="39">
        <v>1.88</v>
      </c>
      <c r="I32" s="39">
        <v>1.88</v>
      </c>
      <c r="J32" s="39">
        <v>0.94</v>
      </c>
      <c r="K32" s="39">
        <v>1.88</v>
      </c>
      <c r="L32" s="39">
        <v>1.88</v>
      </c>
      <c r="M32" s="39">
        <v>1.88</v>
      </c>
      <c r="N32" s="39">
        <v>1.88</v>
      </c>
      <c r="O32" s="39">
        <v>1.88</v>
      </c>
      <c r="P32" s="39">
        <v>1.88</v>
      </c>
      <c r="Q32" s="39">
        <v>1.88</v>
      </c>
      <c r="R32" s="39">
        <v>1.88</v>
      </c>
      <c r="S32" s="39">
        <v>1.88</v>
      </c>
      <c r="T32" s="39">
        <v>1.88</v>
      </c>
      <c r="U32" s="39">
        <v>1.88</v>
      </c>
      <c r="V32" s="39">
        <v>0.94</v>
      </c>
      <c r="W32" s="39">
        <v>0.94</v>
      </c>
      <c r="X32" s="39">
        <v>0.94</v>
      </c>
      <c r="Y32" s="39"/>
      <c r="Z32" s="39"/>
      <c r="AA32" s="39"/>
      <c r="AB32" s="39"/>
      <c r="AC32" s="39"/>
      <c r="AD32" s="39"/>
      <c r="AE32" s="39"/>
      <c r="AF32" s="7"/>
    </row>
    <row r="33" spans="1:32" ht="15" x14ac:dyDescent="0.25">
      <c r="A33" s="6" t="s">
        <v>40</v>
      </c>
      <c r="B33" s="39">
        <v>1.88</v>
      </c>
      <c r="C33" s="39">
        <v>1.88</v>
      </c>
      <c r="D33" s="39">
        <v>1.88</v>
      </c>
      <c r="E33" s="39">
        <v>1.88</v>
      </c>
      <c r="F33" s="39">
        <v>1.88</v>
      </c>
      <c r="G33" s="39">
        <v>1.88</v>
      </c>
      <c r="H33" s="39">
        <v>1.88</v>
      </c>
      <c r="I33" s="39">
        <v>1.88</v>
      </c>
      <c r="J33" s="39">
        <v>0.94</v>
      </c>
      <c r="K33" s="39">
        <v>1.88</v>
      </c>
      <c r="L33" s="39">
        <v>1.88</v>
      </c>
      <c r="M33" s="39">
        <v>1.88</v>
      </c>
      <c r="N33" s="39">
        <v>1.88</v>
      </c>
      <c r="O33" s="39">
        <v>1.88</v>
      </c>
      <c r="P33" s="39">
        <v>1.88</v>
      </c>
      <c r="Q33" s="39">
        <v>1.88</v>
      </c>
      <c r="R33" s="39">
        <v>1.88</v>
      </c>
      <c r="S33" s="39">
        <v>1.88</v>
      </c>
      <c r="T33" s="39">
        <v>1.88</v>
      </c>
      <c r="U33" s="39">
        <v>1.88</v>
      </c>
      <c r="V33" s="39">
        <v>0.94</v>
      </c>
      <c r="W33" s="39">
        <v>0.94</v>
      </c>
      <c r="X33" s="39">
        <v>0.94</v>
      </c>
      <c r="Y33" s="39"/>
      <c r="Z33" s="39"/>
      <c r="AA33" s="39"/>
      <c r="AB33" s="39"/>
      <c r="AC33" s="39"/>
      <c r="AD33" s="39"/>
      <c r="AE33" s="39"/>
      <c r="AF33" s="7"/>
    </row>
    <row r="34" spans="1:32" ht="15" x14ac:dyDescent="0.25">
      <c r="A34" s="6" t="s">
        <v>41</v>
      </c>
      <c r="B34" s="39">
        <v>1.88</v>
      </c>
      <c r="C34" s="39">
        <v>1.88</v>
      </c>
      <c r="D34" s="39">
        <v>1.88</v>
      </c>
      <c r="E34" s="39">
        <v>1.88</v>
      </c>
      <c r="F34" s="39">
        <v>1.88</v>
      </c>
      <c r="G34" s="39">
        <v>1.88</v>
      </c>
      <c r="H34" s="39">
        <v>1.88</v>
      </c>
      <c r="I34" s="39">
        <v>1.88</v>
      </c>
      <c r="J34" s="39">
        <v>0.94</v>
      </c>
      <c r="K34" s="39">
        <v>1.88</v>
      </c>
      <c r="L34" s="39">
        <v>1.88</v>
      </c>
      <c r="M34" s="39">
        <v>1.88</v>
      </c>
      <c r="N34" s="39">
        <v>1.88</v>
      </c>
      <c r="O34" s="39">
        <v>1.88</v>
      </c>
      <c r="P34" s="39">
        <v>1.88</v>
      </c>
      <c r="Q34" s="39">
        <v>1.88</v>
      </c>
      <c r="R34" s="39">
        <v>1.88</v>
      </c>
      <c r="S34" s="39">
        <v>1.88</v>
      </c>
      <c r="T34" s="39">
        <v>1.88</v>
      </c>
      <c r="U34" s="39">
        <v>1.88</v>
      </c>
      <c r="V34" s="39">
        <v>0.94</v>
      </c>
      <c r="W34" s="39">
        <v>0.94</v>
      </c>
      <c r="X34" s="39">
        <v>0.94</v>
      </c>
      <c r="Y34" s="39"/>
      <c r="Z34" s="39"/>
      <c r="AA34" s="39"/>
      <c r="AB34" s="39"/>
      <c r="AC34" s="39"/>
      <c r="AD34" s="39"/>
      <c r="AE34" s="39"/>
      <c r="AF34" s="7"/>
    </row>
    <row r="35" spans="1:32" ht="15" x14ac:dyDescent="0.25">
      <c r="A35" s="6" t="s">
        <v>42</v>
      </c>
      <c r="B35" s="39">
        <v>1.88</v>
      </c>
      <c r="C35" s="39">
        <v>1.88</v>
      </c>
      <c r="D35" s="39">
        <v>1.88</v>
      </c>
      <c r="E35" s="39">
        <v>1.88</v>
      </c>
      <c r="F35" s="39">
        <v>1.88</v>
      </c>
      <c r="G35" s="39">
        <v>1.88</v>
      </c>
      <c r="H35" s="39">
        <v>1.88</v>
      </c>
      <c r="I35" s="39">
        <v>1.88</v>
      </c>
      <c r="J35" s="39">
        <v>0.94</v>
      </c>
      <c r="K35" s="39">
        <v>1.88</v>
      </c>
      <c r="L35" s="39">
        <v>1.88</v>
      </c>
      <c r="M35" s="39">
        <v>1.88</v>
      </c>
      <c r="N35" s="39">
        <v>1.88</v>
      </c>
      <c r="O35" s="39">
        <v>1.88</v>
      </c>
      <c r="P35" s="39">
        <v>1.88</v>
      </c>
      <c r="Q35" s="39">
        <v>1.88</v>
      </c>
      <c r="R35" s="39">
        <v>1.88</v>
      </c>
      <c r="S35" s="39">
        <v>1.88</v>
      </c>
      <c r="T35" s="39">
        <v>1.88</v>
      </c>
      <c r="U35" s="39">
        <v>1.88</v>
      </c>
      <c r="V35" s="39">
        <v>0.94</v>
      </c>
      <c r="W35" s="39">
        <v>0.94</v>
      </c>
      <c r="X35" s="39">
        <v>0.94</v>
      </c>
      <c r="Y35" s="39"/>
      <c r="Z35" s="39"/>
      <c r="AA35" s="39"/>
      <c r="AB35" s="39"/>
      <c r="AC35" s="39"/>
      <c r="AD35" s="39"/>
      <c r="AE35" s="39"/>
      <c r="AF35" s="7"/>
    </row>
    <row r="36" spans="1:32" ht="15" x14ac:dyDescent="0.25">
      <c r="A36" s="6" t="s">
        <v>43</v>
      </c>
      <c r="B36" s="39">
        <v>1.88</v>
      </c>
      <c r="C36" s="39">
        <v>1.88</v>
      </c>
      <c r="D36" s="39">
        <v>1.88</v>
      </c>
      <c r="E36" s="39">
        <v>1.88</v>
      </c>
      <c r="F36" s="39">
        <v>1.88</v>
      </c>
      <c r="G36" s="39">
        <v>1.88</v>
      </c>
      <c r="H36" s="39">
        <v>1.88</v>
      </c>
      <c r="I36" s="39">
        <v>1.88</v>
      </c>
      <c r="J36" s="39">
        <v>0.94</v>
      </c>
      <c r="K36" s="39">
        <v>1.88</v>
      </c>
      <c r="L36" s="39">
        <v>1.88</v>
      </c>
      <c r="M36" s="39">
        <v>1.88</v>
      </c>
      <c r="N36" s="39">
        <v>1.88</v>
      </c>
      <c r="O36" s="39">
        <v>1.88</v>
      </c>
      <c r="P36" s="39">
        <v>1.88</v>
      </c>
      <c r="Q36" s="39">
        <v>1.88</v>
      </c>
      <c r="R36" s="39">
        <v>1.88</v>
      </c>
      <c r="S36" s="39">
        <v>1.88</v>
      </c>
      <c r="T36" s="39">
        <v>1.88</v>
      </c>
      <c r="U36" s="39">
        <v>1.88</v>
      </c>
      <c r="V36" s="39">
        <v>0.94</v>
      </c>
      <c r="W36" s="39">
        <v>0.94</v>
      </c>
      <c r="X36" s="39">
        <v>0.94</v>
      </c>
      <c r="Y36" s="39"/>
      <c r="Z36" s="39"/>
      <c r="AA36" s="39"/>
      <c r="AB36" s="39"/>
      <c r="AC36" s="39"/>
      <c r="AD36" s="39"/>
      <c r="AE36" s="39"/>
      <c r="AF36" s="7"/>
    </row>
    <row r="37" spans="1:32" ht="15" x14ac:dyDescent="0.25">
      <c r="A37" s="6" t="s">
        <v>44</v>
      </c>
      <c r="B37" s="39">
        <v>1.88</v>
      </c>
      <c r="C37" s="39">
        <v>1.88</v>
      </c>
      <c r="D37" s="39">
        <v>1.88</v>
      </c>
      <c r="E37" s="39">
        <v>1.88</v>
      </c>
      <c r="F37" s="39">
        <v>1.88</v>
      </c>
      <c r="G37" s="39">
        <v>1.88</v>
      </c>
      <c r="H37" s="39">
        <v>1.88</v>
      </c>
      <c r="I37" s="39">
        <v>1.88</v>
      </c>
      <c r="J37" s="39">
        <v>0.94</v>
      </c>
      <c r="K37" s="39">
        <v>1.88</v>
      </c>
      <c r="L37" s="39">
        <v>1.88</v>
      </c>
      <c r="M37" s="39">
        <v>1.88</v>
      </c>
      <c r="N37" s="39">
        <v>1.88</v>
      </c>
      <c r="O37" s="39">
        <v>1.88</v>
      </c>
      <c r="P37" s="39">
        <v>1.88</v>
      </c>
      <c r="Q37" s="39">
        <v>1.88</v>
      </c>
      <c r="R37" s="39">
        <v>1.88</v>
      </c>
      <c r="S37" s="39">
        <v>1.88</v>
      </c>
      <c r="T37" s="39">
        <v>1.88</v>
      </c>
      <c r="U37" s="39">
        <v>1.88</v>
      </c>
      <c r="V37" s="39">
        <v>0.94</v>
      </c>
      <c r="W37" s="39">
        <v>0.94</v>
      </c>
      <c r="X37" s="39">
        <v>0.94</v>
      </c>
      <c r="Y37" s="39"/>
      <c r="Z37" s="39"/>
      <c r="AA37" s="39"/>
      <c r="AB37" s="39"/>
      <c r="AC37" s="39"/>
      <c r="AD37" s="39"/>
      <c r="AE37" s="39"/>
      <c r="AF37" s="7"/>
    </row>
    <row r="38" spans="1:32" ht="15" x14ac:dyDescent="0.25">
      <c r="A38" s="6" t="s">
        <v>45</v>
      </c>
      <c r="B38" s="39">
        <v>1.88</v>
      </c>
      <c r="C38" s="39">
        <v>1.88</v>
      </c>
      <c r="D38" s="39">
        <v>1.88</v>
      </c>
      <c r="E38" s="39">
        <v>1.88</v>
      </c>
      <c r="F38" s="39">
        <v>1.88</v>
      </c>
      <c r="G38" s="39">
        <v>1.88</v>
      </c>
      <c r="H38" s="39">
        <v>1.88</v>
      </c>
      <c r="I38" s="39">
        <v>1.88</v>
      </c>
      <c r="J38" s="39">
        <v>0.94</v>
      </c>
      <c r="K38" s="39">
        <v>1.88</v>
      </c>
      <c r="L38" s="39">
        <v>1.88</v>
      </c>
      <c r="M38" s="39">
        <v>1.88</v>
      </c>
      <c r="N38" s="39">
        <v>1.88</v>
      </c>
      <c r="O38" s="39">
        <v>1.88</v>
      </c>
      <c r="P38" s="39">
        <v>1.88</v>
      </c>
      <c r="Q38" s="39">
        <v>1.88</v>
      </c>
      <c r="R38" s="39">
        <v>1.88</v>
      </c>
      <c r="S38" s="39">
        <v>1.88</v>
      </c>
      <c r="T38" s="39">
        <v>1.88</v>
      </c>
      <c r="U38" s="39">
        <v>1.88</v>
      </c>
      <c r="V38" s="39">
        <v>0.94</v>
      </c>
      <c r="W38" s="39">
        <v>0.94</v>
      </c>
      <c r="X38" s="39">
        <v>0.94</v>
      </c>
      <c r="Y38" s="39"/>
      <c r="Z38" s="39"/>
      <c r="AA38" s="39"/>
      <c r="AB38" s="39"/>
      <c r="AC38" s="39"/>
      <c r="AD38" s="39"/>
      <c r="AE38" s="39"/>
      <c r="AF38" s="7"/>
    </row>
    <row r="39" spans="1:32" ht="15" x14ac:dyDescent="0.25">
      <c r="A39" s="6" t="s">
        <v>46</v>
      </c>
      <c r="B39" s="39">
        <v>1.88</v>
      </c>
      <c r="C39" s="39">
        <v>1.88</v>
      </c>
      <c r="D39" s="39">
        <v>1.88</v>
      </c>
      <c r="E39" s="39">
        <v>1.88</v>
      </c>
      <c r="F39" s="39">
        <v>1.88</v>
      </c>
      <c r="G39" s="39">
        <v>1.88</v>
      </c>
      <c r="H39" s="39">
        <v>1.88</v>
      </c>
      <c r="I39" s="39">
        <v>1.88</v>
      </c>
      <c r="J39" s="39">
        <v>0.94</v>
      </c>
      <c r="K39" s="39">
        <v>1.88</v>
      </c>
      <c r="L39" s="39">
        <v>1.88</v>
      </c>
      <c r="M39" s="39">
        <v>1.88</v>
      </c>
      <c r="N39" s="39">
        <v>1.88</v>
      </c>
      <c r="O39" s="39">
        <v>1.88</v>
      </c>
      <c r="P39" s="39">
        <v>1.88</v>
      </c>
      <c r="Q39" s="39">
        <v>1.88</v>
      </c>
      <c r="R39" s="39">
        <v>1.88</v>
      </c>
      <c r="S39" s="39">
        <v>1.88</v>
      </c>
      <c r="T39" s="39">
        <v>1.88</v>
      </c>
      <c r="U39" s="39">
        <v>1.88</v>
      </c>
      <c r="V39" s="39">
        <v>0.94</v>
      </c>
      <c r="W39" s="39">
        <v>0.94</v>
      </c>
      <c r="X39" s="39">
        <v>0.94</v>
      </c>
      <c r="Y39" s="39"/>
      <c r="Z39" s="39"/>
      <c r="AA39" s="39"/>
      <c r="AB39" s="39"/>
      <c r="AC39" s="39"/>
      <c r="AD39" s="39"/>
      <c r="AE39" s="39"/>
      <c r="AF39" s="7"/>
    </row>
    <row r="40" spans="1:32" ht="15" x14ac:dyDescent="0.25">
      <c r="A40" s="6" t="s">
        <v>47</v>
      </c>
      <c r="B40" s="39">
        <v>1.88</v>
      </c>
      <c r="C40" s="39">
        <v>1.88</v>
      </c>
      <c r="D40" s="39">
        <v>1.88</v>
      </c>
      <c r="E40" s="39">
        <v>1.88</v>
      </c>
      <c r="F40" s="39">
        <v>1.88</v>
      </c>
      <c r="G40" s="39">
        <v>1.88</v>
      </c>
      <c r="H40" s="39">
        <v>1.88</v>
      </c>
      <c r="I40" s="39">
        <v>1.88</v>
      </c>
      <c r="J40" s="39">
        <v>0.94</v>
      </c>
      <c r="K40" s="39">
        <v>1.88</v>
      </c>
      <c r="L40" s="39">
        <v>1.88</v>
      </c>
      <c r="M40" s="39">
        <v>1.88</v>
      </c>
      <c r="N40" s="39">
        <v>1.88</v>
      </c>
      <c r="O40" s="39">
        <v>1.88</v>
      </c>
      <c r="P40" s="39">
        <v>1.88</v>
      </c>
      <c r="Q40" s="39">
        <v>1.88</v>
      </c>
      <c r="R40" s="39">
        <v>1.88</v>
      </c>
      <c r="S40" s="39">
        <v>1.88</v>
      </c>
      <c r="T40" s="39">
        <v>1.88</v>
      </c>
      <c r="U40" s="39">
        <v>1.88</v>
      </c>
      <c r="V40" s="39">
        <v>0.94</v>
      </c>
      <c r="W40" s="39">
        <v>0.94</v>
      </c>
      <c r="X40" s="39">
        <v>0.94</v>
      </c>
      <c r="Y40" s="39"/>
      <c r="Z40" s="39"/>
      <c r="AA40" s="39"/>
      <c r="AB40" s="39"/>
      <c r="AC40" s="39"/>
      <c r="AD40" s="39"/>
      <c r="AE40" s="39"/>
      <c r="AF40" s="7"/>
    </row>
    <row r="41" spans="1:32" ht="15" x14ac:dyDescent="0.25">
      <c r="A41" s="6" t="s">
        <v>48</v>
      </c>
      <c r="B41" s="39">
        <v>1.88</v>
      </c>
      <c r="C41" s="39">
        <v>1.88</v>
      </c>
      <c r="D41" s="39">
        <v>1.88</v>
      </c>
      <c r="E41" s="39">
        <v>1.88</v>
      </c>
      <c r="F41" s="39">
        <v>1.88</v>
      </c>
      <c r="G41" s="39">
        <v>1.88</v>
      </c>
      <c r="H41" s="39">
        <v>1.88</v>
      </c>
      <c r="I41" s="39">
        <v>1.88</v>
      </c>
      <c r="J41" s="39">
        <v>0.94</v>
      </c>
      <c r="K41" s="39">
        <v>1.88</v>
      </c>
      <c r="L41" s="39">
        <v>1.88</v>
      </c>
      <c r="M41" s="39">
        <v>1.88</v>
      </c>
      <c r="N41" s="39">
        <v>1.88</v>
      </c>
      <c r="O41" s="39">
        <v>1.88</v>
      </c>
      <c r="P41" s="39">
        <v>1.88</v>
      </c>
      <c r="Q41" s="39">
        <v>1.88</v>
      </c>
      <c r="R41" s="39">
        <v>1.88</v>
      </c>
      <c r="S41" s="39">
        <v>1.88</v>
      </c>
      <c r="T41" s="39">
        <v>1.88</v>
      </c>
      <c r="U41" s="39">
        <v>1.88</v>
      </c>
      <c r="V41" s="39">
        <v>0.94</v>
      </c>
      <c r="W41" s="39">
        <v>0.94</v>
      </c>
      <c r="X41" s="39">
        <v>0.94</v>
      </c>
      <c r="Y41" s="39"/>
      <c r="Z41" s="39"/>
      <c r="AA41" s="39"/>
      <c r="AB41" s="39"/>
      <c r="AC41" s="39"/>
      <c r="AD41" s="39"/>
      <c r="AE41" s="39"/>
      <c r="AF41" s="7"/>
    </row>
    <row r="42" spans="1:32" ht="15" x14ac:dyDescent="0.25">
      <c r="A42" s="6" t="s">
        <v>49</v>
      </c>
      <c r="B42" s="39">
        <v>1.88</v>
      </c>
      <c r="C42" s="39">
        <v>1.88</v>
      </c>
      <c r="D42" s="39">
        <v>1.88</v>
      </c>
      <c r="E42" s="39">
        <v>1.88</v>
      </c>
      <c r="F42" s="39">
        <v>1.88</v>
      </c>
      <c r="G42" s="39">
        <v>1.88</v>
      </c>
      <c r="H42" s="39">
        <v>1.88</v>
      </c>
      <c r="I42" s="39">
        <v>1.88</v>
      </c>
      <c r="J42" s="39">
        <v>0.94</v>
      </c>
      <c r="K42" s="39">
        <v>1.88</v>
      </c>
      <c r="L42" s="39">
        <v>1.88</v>
      </c>
      <c r="M42" s="39">
        <v>1.88</v>
      </c>
      <c r="N42" s="39">
        <v>1.88</v>
      </c>
      <c r="O42" s="39">
        <v>1.88</v>
      </c>
      <c r="P42" s="39">
        <v>1.88</v>
      </c>
      <c r="Q42" s="39">
        <v>1.88</v>
      </c>
      <c r="R42" s="39">
        <v>1.88</v>
      </c>
      <c r="S42" s="39">
        <v>1.88</v>
      </c>
      <c r="T42" s="39">
        <v>1.88</v>
      </c>
      <c r="U42" s="39">
        <v>1.88</v>
      </c>
      <c r="V42" s="39">
        <v>0.94</v>
      </c>
      <c r="W42" s="39">
        <v>0.94</v>
      </c>
      <c r="X42" s="39">
        <v>0.94</v>
      </c>
      <c r="Y42" s="39"/>
      <c r="Z42" s="39"/>
      <c r="AA42" s="39"/>
      <c r="AB42" s="39"/>
      <c r="AC42" s="39"/>
      <c r="AD42" s="39"/>
      <c r="AE42" s="39"/>
      <c r="AF42" s="7"/>
    </row>
    <row r="43" spans="1:32" ht="15" x14ac:dyDescent="0.25">
      <c r="A43" s="6" t="s">
        <v>50</v>
      </c>
      <c r="B43" s="39">
        <v>1.88</v>
      </c>
      <c r="C43" s="39">
        <v>1.88</v>
      </c>
      <c r="D43" s="39">
        <v>1.88</v>
      </c>
      <c r="E43" s="39">
        <v>1.88</v>
      </c>
      <c r="F43" s="39">
        <v>1.88</v>
      </c>
      <c r="G43" s="39">
        <v>1.88</v>
      </c>
      <c r="H43" s="39">
        <v>1.88</v>
      </c>
      <c r="I43" s="39">
        <v>1.88</v>
      </c>
      <c r="J43" s="39">
        <v>0.94</v>
      </c>
      <c r="K43" s="39">
        <v>1.88</v>
      </c>
      <c r="L43" s="39">
        <v>1.88</v>
      </c>
      <c r="M43" s="39">
        <v>1.88</v>
      </c>
      <c r="N43" s="39">
        <v>1.88</v>
      </c>
      <c r="O43" s="39">
        <v>1.88</v>
      </c>
      <c r="P43" s="39">
        <v>1.88</v>
      </c>
      <c r="Q43" s="39">
        <v>1.88</v>
      </c>
      <c r="R43" s="39">
        <v>1.88</v>
      </c>
      <c r="S43" s="39">
        <v>1.88</v>
      </c>
      <c r="T43" s="39">
        <v>1.88</v>
      </c>
      <c r="U43" s="39">
        <v>1.88</v>
      </c>
      <c r="V43" s="39">
        <v>0.94</v>
      </c>
      <c r="W43" s="39">
        <v>0.94</v>
      </c>
      <c r="X43" s="39">
        <v>0.94</v>
      </c>
      <c r="Y43" s="39"/>
      <c r="Z43" s="39"/>
      <c r="AA43" s="39"/>
      <c r="AB43" s="39"/>
      <c r="AC43" s="39"/>
      <c r="AD43" s="39"/>
      <c r="AE43" s="39"/>
      <c r="AF43" s="7"/>
    </row>
    <row r="44" spans="1:32" ht="15" x14ac:dyDescent="0.25">
      <c r="A44" s="6" t="s">
        <v>51</v>
      </c>
      <c r="B44" s="39">
        <v>1.88</v>
      </c>
      <c r="C44" s="39">
        <v>1.88</v>
      </c>
      <c r="D44" s="39">
        <v>1.88</v>
      </c>
      <c r="E44" s="39">
        <v>1.88</v>
      </c>
      <c r="F44" s="39">
        <v>1.88</v>
      </c>
      <c r="G44" s="39">
        <v>1.88</v>
      </c>
      <c r="H44" s="39">
        <v>1.88</v>
      </c>
      <c r="I44" s="39">
        <v>1.88</v>
      </c>
      <c r="J44" s="39">
        <v>0.94</v>
      </c>
      <c r="K44" s="39">
        <v>1.88</v>
      </c>
      <c r="L44" s="39">
        <v>1.88</v>
      </c>
      <c r="M44" s="39">
        <v>1.88</v>
      </c>
      <c r="N44" s="39">
        <v>1.88</v>
      </c>
      <c r="O44" s="39">
        <v>1.88</v>
      </c>
      <c r="P44" s="39">
        <v>1.88</v>
      </c>
      <c r="Q44" s="39">
        <v>1.88</v>
      </c>
      <c r="R44" s="39">
        <v>1.88</v>
      </c>
      <c r="S44" s="39">
        <v>1.88</v>
      </c>
      <c r="T44" s="39">
        <v>1.88</v>
      </c>
      <c r="U44" s="39">
        <v>1.88</v>
      </c>
      <c r="V44" s="39">
        <v>0.94</v>
      </c>
      <c r="W44" s="39">
        <v>0.94</v>
      </c>
      <c r="X44" s="39">
        <v>0.94</v>
      </c>
      <c r="Y44" s="39"/>
      <c r="Z44" s="39"/>
      <c r="AA44" s="39"/>
      <c r="AB44" s="39"/>
      <c r="AC44" s="39"/>
      <c r="AD44" s="39"/>
      <c r="AE44" s="39"/>
      <c r="AF44" s="7"/>
    </row>
    <row r="45" spans="1:32" ht="15" x14ac:dyDescent="0.25">
      <c r="A45" s="6" t="s">
        <v>52</v>
      </c>
      <c r="B45" s="39">
        <v>1.88</v>
      </c>
      <c r="C45" s="39">
        <v>1.88</v>
      </c>
      <c r="D45" s="39">
        <v>1.88</v>
      </c>
      <c r="E45" s="39">
        <v>1.88</v>
      </c>
      <c r="F45" s="39">
        <v>1.88</v>
      </c>
      <c r="G45" s="39">
        <v>1.88</v>
      </c>
      <c r="H45" s="39">
        <v>1.88</v>
      </c>
      <c r="I45" s="39">
        <v>1.88</v>
      </c>
      <c r="J45" s="39">
        <v>0.94</v>
      </c>
      <c r="K45" s="39">
        <v>1.88</v>
      </c>
      <c r="L45" s="39">
        <v>1.88</v>
      </c>
      <c r="M45" s="39">
        <v>1.88</v>
      </c>
      <c r="N45" s="39">
        <v>1.88</v>
      </c>
      <c r="O45" s="39">
        <v>1.88</v>
      </c>
      <c r="P45" s="39">
        <v>1.88</v>
      </c>
      <c r="Q45" s="39">
        <v>1.88</v>
      </c>
      <c r="R45" s="39">
        <v>1.88</v>
      </c>
      <c r="S45" s="39">
        <v>1.88</v>
      </c>
      <c r="T45" s="39">
        <v>1.88</v>
      </c>
      <c r="U45" s="39">
        <v>1.88</v>
      </c>
      <c r="V45" s="39">
        <v>0.94</v>
      </c>
      <c r="W45" s="39">
        <v>0.94</v>
      </c>
      <c r="X45" s="39">
        <v>0.94</v>
      </c>
      <c r="Y45" s="39"/>
      <c r="Z45" s="39"/>
      <c r="AA45" s="39"/>
      <c r="AB45" s="39"/>
      <c r="AC45" s="39"/>
      <c r="AD45" s="39"/>
      <c r="AE45" s="39"/>
      <c r="AF45" s="7"/>
    </row>
    <row r="46" spans="1:32" ht="15" x14ac:dyDescent="0.25">
      <c r="A46" s="6" t="s">
        <v>53</v>
      </c>
      <c r="B46" s="39">
        <v>1.88</v>
      </c>
      <c r="C46" s="39">
        <v>1.88</v>
      </c>
      <c r="D46" s="39">
        <v>1.88</v>
      </c>
      <c r="E46" s="39">
        <v>1.88</v>
      </c>
      <c r="F46" s="39">
        <v>1.88</v>
      </c>
      <c r="G46" s="39">
        <v>1.88</v>
      </c>
      <c r="H46" s="39">
        <v>1.88</v>
      </c>
      <c r="I46" s="39">
        <v>1.88</v>
      </c>
      <c r="J46" s="39">
        <v>0.94</v>
      </c>
      <c r="K46" s="39">
        <v>1.88</v>
      </c>
      <c r="L46" s="39">
        <v>1.88</v>
      </c>
      <c r="M46" s="39">
        <v>1.88</v>
      </c>
      <c r="N46" s="39">
        <v>1.88</v>
      </c>
      <c r="O46" s="39">
        <v>1.88</v>
      </c>
      <c r="P46" s="39">
        <v>1.88</v>
      </c>
      <c r="Q46" s="39">
        <v>1.88</v>
      </c>
      <c r="R46" s="39">
        <v>1.88</v>
      </c>
      <c r="S46" s="39">
        <v>1.88</v>
      </c>
      <c r="T46" s="39">
        <v>1.88</v>
      </c>
      <c r="U46" s="39">
        <v>1.88</v>
      </c>
      <c r="V46" s="39">
        <v>0.94</v>
      </c>
      <c r="W46" s="39">
        <v>0.94</v>
      </c>
      <c r="X46" s="39">
        <v>0.94</v>
      </c>
      <c r="Y46" s="39"/>
      <c r="Z46" s="39"/>
      <c r="AA46" s="39"/>
      <c r="AB46" s="39"/>
      <c r="AC46" s="39"/>
      <c r="AD46" s="39"/>
      <c r="AE46" s="39"/>
      <c r="AF46" s="7"/>
    </row>
    <row r="47" spans="1:32" ht="15" x14ac:dyDescent="0.25">
      <c r="A47" s="6" t="s">
        <v>54</v>
      </c>
      <c r="B47" s="39">
        <v>1.88</v>
      </c>
      <c r="C47" s="39">
        <v>1.88</v>
      </c>
      <c r="D47" s="39">
        <v>1.88</v>
      </c>
      <c r="E47" s="39">
        <v>1.88</v>
      </c>
      <c r="F47" s="39">
        <v>1.88</v>
      </c>
      <c r="G47" s="39">
        <v>1.88</v>
      </c>
      <c r="H47" s="39">
        <v>1.88</v>
      </c>
      <c r="I47" s="39">
        <v>1.88</v>
      </c>
      <c r="J47" s="39">
        <v>0.94</v>
      </c>
      <c r="K47" s="39">
        <v>1.88</v>
      </c>
      <c r="L47" s="39">
        <v>1.88</v>
      </c>
      <c r="M47" s="39">
        <v>1.88</v>
      </c>
      <c r="N47" s="39">
        <v>1.88</v>
      </c>
      <c r="O47" s="39">
        <v>1.88</v>
      </c>
      <c r="P47" s="39">
        <v>1.88</v>
      </c>
      <c r="Q47" s="39">
        <v>1.88</v>
      </c>
      <c r="R47" s="39">
        <v>1.88</v>
      </c>
      <c r="S47" s="39">
        <v>1.88</v>
      </c>
      <c r="T47" s="39">
        <v>1.88</v>
      </c>
      <c r="U47" s="39">
        <v>1.88</v>
      </c>
      <c r="V47" s="39">
        <v>0.94</v>
      </c>
      <c r="W47" s="39">
        <v>0.94</v>
      </c>
      <c r="X47" s="39">
        <v>0.94</v>
      </c>
      <c r="Y47" s="39"/>
      <c r="Z47" s="39"/>
      <c r="AA47" s="39"/>
      <c r="AB47" s="39"/>
      <c r="AC47" s="39"/>
      <c r="AD47" s="39"/>
      <c r="AE47" s="39"/>
      <c r="AF47" s="7"/>
    </row>
    <row r="48" spans="1:32" ht="15" x14ac:dyDescent="0.25">
      <c r="A48" s="6" t="s">
        <v>55</v>
      </c>
      <c r="B48" s="39">
        <v>1.88</v>
      </c>
      <c r="C48" s="39">
        <v>1.88</v>
      </c>
      <c r="D48" s="39">
        <v>1.88</v>
      </c>
      <c r="E48" s="39">
        <v>1.88</v>
      </c>
      <c r="F48" s="39">
        <v>1.88</v>
      </c>
      <c r="G48" s="39">
        <v>1.88</v>
      </c>
      <c r="H48" s="39">
        <v>1.88</v>
      </c>
      <c r="I48" s="39">
        <v>1.88</v>
      </c>
      <c r="J48" s="39">
        <v>0.94</v>
      </c>
      <c r="K48" s="39">
        <v>1.88</v>
      </c>
      <c r="L48" s="39">
        <v>1.88</v>
      </c>
      <c r="M48" s="39">
        <v>1.88</v>
      </c>
      <c r="N48" s="39">
        <v>1.88</v>
      </c>
      <c r="O48" s="39">
        <v>1.88</v>
      </c>
      <c r="P48" s="39">
        <v>1.88</v>
      </c>
      <c r="Q48" s="39">
        <v>1.88</v>
      </c>
      <c r="R48" s="39">
        <v>1.88</v>
      </c>
      <c r="S48" s="39">
        <v>1.88</v>
      </c>
      <c r="T48" s="39">
        <v>1.88</v>
      </c>
      <c r="U48" s="39">
        <v>1.88</v>
      </c>
      <c r="V48" s="39">
        <v>0.94</v>
      </c>
      <c r="W48" s="39">
        <v>0.94</v>
      </c>
      <c r="X48" s="39">
        <v>0.94</v>
      </c>
      <c r="Y48" s="39"/>
      <c r="Z48" s="39"/>
      <c r="AA48" s="39"/>
      <c r="AB48" s="39"/>
      <c r="AC48" s="39"/>
      <c r="AD48" s="39"/>
      <c r="AE48" s="39"/>
      <c r="AF48" s="7"/>
    </row>
    <row r="49" spans="1:32" ht="15" x14ac:dyDescent="0.25">
      <c r="A49" s="6" t="s">
        <v>56</v>
      </c>
      <c r="B49" s="39">
        <v>1.88</v>
      </c>
      <c r="C49" s="39">
        <v>1.88</v>
      </c>
      <c r="D49" s="39">
        <v>1.88</v>
      </c>
      <c r="E49" s="39">
        <v>1.88</v>
      </c>
      <c r="F49" s="39">
        <v>1.88</v>
      </c>
      <c r="G49" s="39">
        <v>1.88</v>
      </c>
      <c r="H49" s="39">
        <v>1.88</v>
      </c>
      <c r="I49" s="39">
        <v>1.88</v>
      </c>
      <c r="J49" s="39">
        <v>0.94</v>
      </c>
      <c r="K49" s="39">
        <v>1.88</v>
      </c>
      <c r="L49" s="39">
        <v>1.88</v>
      </c>
      <c r="M49" s="39">
        <v>1.88</v>
      </c>
      <c r="N49" s="39">
        <v>1.88</v>
      </c>
      <c r="O49" s="39">
        <v>1.88</v>
      </c>
      <c r="P49" s="39">
        <v>1.88</v>
      </c>
      <c r="Q49" s="39">
        <v>1.88</v>
      </c>
      <c r="R49" s="39">
        <v>1.88</v>
      </c>
      <c r="S49" s="39">
        <v>1.88</v>
      </c>
      <c r="T49" s="39">
        <v>1.88</v>
      </c>
      <c r="U49" s="39">
        <v>1.88</v>
      </c>
      <c r="V49" s="39">
        <v>0.94</v>
      </c>
      <c r="W49" s="39">
        <v>0.94</v>
      </c>
      <c r="X49" s="39">
        <v>0.94</v>
      </c>
      <c r="Y49" s="39"/>
      <c r="Z49" s="39"/>
      <c r="AA49" s="39"/>
      <c r="AB49" s="39"/>
      <c r="AC49" s="39"/>
      <c r="AD49" s="39"/>
      <c r="AE49" s="39"/>
      <c r="AF49" s="7"/>
    </row>
    <row r="50" spans="1:32" ht="15" x14ac:dyDescent="0.25">
      <c r="A50" s="6" t="s">
        <v>57</v>
      </c>
      <c r="B50" s="39">
        <v>1.88</v>
      </c>
      <c r="C50" s="39">
        <v>1.88</v>
      </c>
      <c r="D50" s="39">
        <v>1.88</v>
      </c>
      <c r="E50" s="39">
        <v>1.88</v>
      </c>
      <c r="F50" s="39">
        <v>1.88</v>
      </c>
      <c r="G50" s="39">
        <v>1.88</v>
      </c>
      <c r="H50" s="39">
        <v>1.88</v>
      </c>
      <c r="I50" s="39">
        <v>1.88</v>
      </c>
      <c r="J50" s="39">
        <v>0.94</v>
      </c>
      <c r="K50" s="39">
        <v>1.88</v>
      </c>
      <c r="L50" s="39">
        <v>1.88</v>
      </c>
      <c r="M50" s="39">
        <v>1.88</v>
      </c>
      <c r="N50" s="39">
        <v>1.88</v>
      </c>
      <c r="O50" s="39">
        <v>1.88</v>
      </c>
      <c r="P50" s="39">
        <v>1.88</v>
      </c>
      <c r="Q50" s="39">
        <v>1.88</v>
      </c>
      <c r="R50" s="39">
        <v>1.88</v>
      </c>
      <c r="S50" s="39">
        <v>1.88</v>
      </c>
      <c r="T50" s="39">
        <v>1.88</v>
      </c>
      <c r="U50" s="39">
        <v>1.88</v>
      </c>
      <c r="V50" s="39">
        <v>0.94</v>
      </c>
      <c r="W50" s="39">
        <v>0.94</v>
      </c>
      <c r="X50" s="39">
        <v>0.94</v>
      </c>
      <c r="Y50" s="39"/>
      <c r="Z50" s="39"/>
      <c r="AA50" s="39"/>
      <c r="AB50" s="39"/>
      <c r="AC50" s="39"/>
      <c r="AD50" s="39"/>
      <c r="AE50" s="39"/>
      <c r="AF50" s="7"/>
    </row>
    <row r="51" spans="1:32" ht="15" x14ac:dyDescent="0.25">
      <c r="A51" s="6" t="s">
        <v>58</v>
      </c>
      <c r="B51" s="39">
        <v>1.88</v>
      </c>
      <c r="C51" s="39">
        <v>1.88</v>
      </c>
      <c r="D51" s="39">
        <v>1.88</v>
      </c>
      <c r="E51" s="39">
        <v>1.88</v>
      </c>
      <c r="F51" s="39">
        <v>1.88</v>
      </c>
      <c r="G51" s="39">
        <v>1.88</v>
      </c>
      <c r="H51" s="39">
        <v>1.88</v>
      </c>
      <c r="I51" s="39">
        <v>1.88</v>
      </c>
      <c r="J51" s="39">
        <v>0.94</v>
      </c>
      <c r="K51" s="39">
        <v>1.88</v>
      </c>
      <c r="L51" s="39">
        <v>1.88</v>
      </c>
      <c r="M51" s="39">
        <v>1.88</v>
      </c>
      <c r="N51" s="39">
        <v>1.88</v>
      </c>
      <c r="O51" s="39">
        <v>1.88</v>
      </c>
      <c r="P51" s="39">
        <v>1.88</v>
      </c>
      <c r="Q51" s="39">
        <v>1.88</v>
      </c>
      <c r="R51" s="39">
        <v>1.88</v>
      </c>
      <c r="S51" s="39">
        <v>1.88</v>
      </c>
      <c r="T51" s="39">
        <v>1.88</v>
      </c>
      <c r="U51" s="39">
        <v>1.88</v>
      </c>
      <c r="V51" s="39">
        <v>0.94</v>
      </c>
      <c r="W51" s="39">
        <v>0.94</v>
      </c>
      <c r="X51" s="39">
        <v>0.94</v>
      </c>
      <c r="Y51" s="39"/>
      <c r="Z51" s="39"/>
      <c r="AA51" s="39"/>
      <c r="AB51" s="39"/>
      <c r="AC51" s="39"/>
      <c r="AD51" s="39"/>
      <c r="AE51" s="39"/>
      <c r="AF51" s="7"/>
    </row>
    <row r="52" spans="1:32" ht="15" x14ac:dyDescent="0.25">
      <c r="A52" s="6" t="s">
        <v>59</v>
      </c>
      <c r="B52" s="39">
        <v>1.88</v>
      </c>
      <c r="C52" s="39">
        <v>1.88</v>
      </c>
      <c r="D52" s="39">
        <v>1.88</v>
      </c>
      <c r="E52" s="39">
        <v>1.88</v>
      </c>
      <c r="F52" s="39">
        <v>1.88</v>
      </c>
      <c r="G52" s="39">
        <v>1.88</v>
      </c>
      <c r="H52" s="39">
        <v>1.88</v>
      </c>
      <c r="I52" s="39">
        <v>1.88</v>
      </c>
      <c r="J52" s="39">
        <v>0.94</v>
      </c>
      <c r="K52" s="39">
        <v>1.88</v>
      </c>
      <c r="L52" s="39">
        <v>1.88</v>
      </c>
      <c r="M52" s="39">
        <v>1.88</v>
      </c>
      <c r="N52" s="39">
        <v>1.88</v>
      </c>
      <c r="O52" s="39">
        <v>1.88</v>
      </c>
      <c r="P52" s="39">
        <v>1.88</v>
      </c>
      <c r="Q52" s="39">
        <v>1.88</v>
      </c>
      <c r="R52" s="39">
        <v>1.88</v>
      </c>
      <c r="S52" s="39">
        <v>1.88</v>
      </c>
      <c r="T52" s="39">
        <v>1.88</v>
      </c>
      <c r="U52" s="39">
        <v>1.88</v>
      </c>
      <c r="V52" s="39">
        <v>0.94</v>
      </c>
      <c r="W52" s="39">
        <v>0.94</v>
      </c>
      <c r="X52" s="39">
        <v>0.94</v>
      </c>
      <c r="Y52" s="39"/>
      <c r="Z52" s="39"/>
      <c r="AA52" s="39"/>
      <c r="AB52" s="39"/>
      <c r="AC52" s="39"/>
      <c r="AD52" s="39"/>
      <c r="AE52" s="39"/>
      <c r="AF52" s="7"/>
    </row>
    <row r="53" spans="1:32" ht="15" x14ac:dyDescent="0.25">
      <c r="A53" s="6" t="s">
        <v>60</v>
      </c>
      <c r="B53" s="39">
        <v>1.88</v>
      </c>
      <c r="C53" s="39">
        <v>1.88</v>
      </c>
      <c r="D53" s="39">
        <v>1.88</v>
      </c>
      <c r="E53" s="39">
        <v>1.88</v>
      </c>
      <c r="F53" s="39">
        <v>1.88</v>
      </c>
      <c r="G53" s="39">
        <v>1.88</v>
      </c>
      <c r="H53" s="39">
        <v>1.88</v>
      </c>
      <c r="I53" s="39">
        <v>1.88</v>
      </c>
      <c r="J53" s="39">
        <v>0.94</v>
      </c>
      <c r="K53" s="39">
        <v>1.88</v>
      </c>
      <c r="L53" s="39">
        <v>1.88</v>
      </c>
      <c r="M53" s="39">
        <v>1.88</v>
      </c>
      <c r="N53" s="39">
        <v>1.88</v>
      </c>
      <c r="O53" s="39">
        <v>1.88</v>
      </c>
      <c r="P53" s="39">
        <v>1.88</v>
      </c>
      <c r="Q53" s="39">
        <v>1.88</v>
      </c>
      <c r="R53" s="39">
        <v>1.88</v>
      </c>
      <c r="S53" s="39">
        <v>1.88</v>
      </c>
      <c r="T53" s="39">
        <v>1.88</v>
      </c>
      <c r="U53" s="39">
        <v>1.88</v>
      </c>
      <c r="V53" s="39">
        <v>0.94</v>
      </c>
      <c r="W53" s="39">
        <v>0.94</v>
      </c>
      <c r="X53" s="39">
        <v>0.94</v>
      </c>
      <c r="Y53" s="39"/>
      <c r="Z53" s="39"/>
      <c r="AA53" s="39"/>
      <c r="AB53" s="39"/>
      <c r="AC53" s="39"/>
      <c r="AD53" s="39"/>
      <c r="AE53" s="39"/>
      <c r="AF53" s="7"/>
    </row>
    <row r="54" spans="1:32" ht="15" x14ac:dyDescent="0.25">
      <c r="A54" s="6" t="s">
        <v>61</v>
      </c>
      <c r="B54" s="39">
        <v>1.88</v>
      </c>
      <c r="C54" s="39">
        <v>1.88</v>
      </c>
      <c r="D54" s="39">
        <v>1.88</v>
      </c>
      <c r="E54" s="39">
        <v>1.88</v>
      </c>
      <c r="F54" s="39">
        <v>1.88</v>
      </c>
      <c r="G54" s="39">
        <v>1.88</v>
      </c>
      <c r="H54" s="39">
        <v>1.88</v>
      </c>
      <c r="I54" s="39">
        <v>1.88</v>
      </c>
      <c r="J54" s="39">
        <v>0.94</v>
      </c>
      <c r="K54" s="39">
        <v>1.88</v>
      </c>
      <c r="L54" s="39">
        <v>1.88</v>
      </c>
      <c r="M54" s="39">
        <v>1.88</v>
      </c>
      <c r="N54" s="39">
        <v>1.88</v>
      </c>
      <c r="O54" s="39">
        <v>1.88</v>
      </c>
      <c r="P54" s="39">
        <v>1.88</v>
      </c>
      <c r="Q54" s="39">
        <v>1.88</v>
      </c>
      <c r="R54" s="39">
        <v>1.88</v>
      </c>
      <c r="S54" s="39">
        <v>1.88</v>
      </c>
      <c r="T54" s="39">
        <v>1.88</v>
      </c>
      <c r="U54" s="39">
        <v>1.88</v>
      </c>
      <c r="V54" s="39">
        <v>0.94</v>
      </c>
      <c r="W54" s="39">
        <v>0.94</v>
      </c>
      <c r="X54" s="39">
        <v>0.94</v>
      </c>
      <c r="Y54" s="39"/>
      <c r="Z54" s="39"/>
      <c r="AA54" s="39"/>
      <c r="AB54" s="39"/>
      <c r="AC54" s="39"/>
      <c r="AD54" s="39"/>
      <c r="AE54" s="39"/>
      <c r="AF54" s="7"/>
    </row>
    <row r="55" spans="1:32" ht="15" x14ac:dyDescent="0.25">
      <c r="A55" s="6" t="s">
        <v>62</v>
      </c>
      <c r="B55" s="39">
        <v>1.88</v>
      </c>
      <c r="C55" s="39">
        <v>1.88</v>
      </c>
      <c r="D55" s="39">
        <v>1.88</v>
      </c>
      <c r="E55" s="39">
        <v>1.88</v>
      </c>
      <c r="F55" s="39">
        <v>1.88</v>
      </c>
      <c r="G55" s="39">
        <v>1.88</v>
      </c>
      <c r="H55" s="39">
        <v>1.88</v>
      </c>
      <c r="I55" s="39">
        <v>1.88</v>
      </c>
      <c r="J55" s="39">
        <v>0.94</v>
      </c>
      <c r="K55" s="39">
        <v>1.88</v>
      </c>
      <c r="L55" s="39">
        <v>1.88</v>
      </c>
      <c r="M55" s="39">
        <v>1.88</v>
      </c>
      <c r="N55" s="39">
        <v>1.88</v>
      </c>
      <c r="O55" s="39">
        <v>1.88</v>
      </c>
      <c r="P55" s="39">
        <v>1.88</v>
      </c>
      <c r="Q55" s="39">
        <v>1.88</v>
      </c>
      <c r="R55" s="39">
        <v>1.88</v>
      </c>
      <c r="S55" s="39">
        <v>1.88</v>
      </c>
      <c r="T55" s="39">
        <v>1.88</v>
      </c>
      <c r="U55" s="39">
        <v>1.88</v>
      </c>
      <c r="V55" s="39">
        <v>0.94</v>
      </c>
      <c r="W55" s="39">
        <v>0.94</v>
      </c>
      <c r="X55" s="39">
        <v>0.94</v>
      </c>
      <c r="Y55" s="39"/>
      <c r="Z55" s="39"/>
      <c r="AA55" s="39"/>
      <c r="AB55" s="39"/>
      <c r="AC55" s="39"/>
      <c r="AD55" s="39"/>
      <c r="AE55" s="39"/>
      <c r="AF55" s="7"/>
    </row>
    <row r="56" spans="1:32" ht="15" x14ac:dyDescent="0.25">
      <c r="A56" s="6" t="s">
        <v>63</v>
      </c>
      <c r="B56" s="39">
        <v>1.88</v>
      </c>
      <c r="C56" s="39">
        <v>1.88</v>
      </c>
      <c r="D56" s="39">
        <v>1.88</v>
      </c>
      <c r="E56" s="39">
        <v>1.88</v>
      </c>
      <c r="F56" s="39">
        <v>1.88</v>
      </c>
      <c r="G56" s="39">
        <v>1.88</v>
      </c>
      <c r="H56" s="39">
        <v>1.88</v>
      </c>
      <c r="I56" s="39">
        <v>1.88</v>
      </c>
      <c r="J56" s="39">
        <v>0.94</v>
      </c>
      <c r="K56" s="39">
        <v>1.88</v>
      </c>
      <c r="L56" s="39">
        <v>1.88</v>
      </c>
      <c r="M56" s="39">
        <v>1.88</v>
      </c>
      <c r="N56" s="39">
        <v>1.88</v>
      </c>
      <c r="O56" s="39">
        <v>1.88</v>
      </c>
      <c r="P56" s="39">
        <v>1.88</v>
      </c>
      <c r="Q56" s="39">
        <v>1.88</v>
      </c>
      <c r="R56" s="39">
        <v>1.88</v>
      </c>
      <c r="S56" s="39">
        <v>1.88</v>
      </c>
      <c r="T56" s="39">
        <v>1.88</v>
      </c>
      <c r="U56" s="39">
        <v>1.88</v>
      </c>
      <c r="V56" s="39">
        <v>0.94</v>
      </c>
      <c r="W56" s="39">
        <v>0.94</v>
      </c>
      <c r="X56" s="39">
        <v>0.94</v>
      </c>
      <c r="Y56" s="39"/>
      <c r="Z56" s="39"/>
      <c r="AA56" s="39"/>
      <c r="AB56" s="39"/>
      <c r="AC56" s="39"/>
      <c r="AD56" s="39"/>
      <c r="AE56" s="39"/>
      <c r="AF56" s="7"/>
    </row>
    <row r="57" spans="1:32" ht="15" x14ac:dyDescent="0.25">
      <c r="A57" s="6" t="s">
        <v>64</v>
      </c>
      <c r="B57" s="39">
        <v>1.88</v>
      </c>
      <c r="C57" s="39">
        <v>1.88</v>
      </c>
      <c r="D57" s="39">
        <v>1.88</v>
      </c>
      <c r="E57" s="39">
        <v>1.88</v>
      </c>
      <c r="F57" s="39">
        <v>1.88</v>
      </c>
      <c r="G57" s="39">
        <v>1.88</v>
      </c>
      <c r="H57" s="39">
        <v>1.88</v>
      </c>
      <c r="I57" s="39">
        <v>1.88</v>
      </c>
      <c r="J57" s="39">
        <v>0.94</v>
      </c>
      <c r="K57" s="39">
        <v>1.88</v>
      </c>
      <c r="L57" s="39">
        <v>1.88</v>
      </c>
      <c r="M57" s="39">
        <v>1.88</v>
      </c>
      <c r="N57" s="39">
        <v>1.88</v>
      </c>
      <c r="O57" s="39">
        <v>1.88</v>
      </c>
      <c r="P57" s="39">
        <v>1.88</v>
      </c>
      <c r="Q57" s="39">
        <v>1.88</v>
      </c>
      <c r="R57" s="39">
        <v>1.88</v>
      </c>
      <c r="S57" s="39">
        <v>1.88</v>
      </c>
      <c r="T57" s="39">
        <v>1.88</v>
      </c>
      <c r="U57" s="39">
        <v>1.88</v>
      </c>
      <c r="V57" s="39">
        <v>0.94</v>
      </c>
      <c r="W57" s="39">
        <v>0.94</v>
      </c>
      <c r="X57" s="39">
        <v>0.94</v>
      </c>
      <c r="Y57" s="39"/>
      <c r="Z57" s="39"/>
      <c r="AA57" s="39"/>
      <c r="AB57" s="39"/>
      <c r="AC57" s="39"/>
      <c r="AD57" s="39"/>
      <c r="AE57" s="39"/>
      <c r="AF57" s="7"/>
    </row>
    <row r="58" spans="1:32" ht="15" x14ac:dyDescent="0.25">
      <c r="A58" s="6" t="s">
        <v>65</v>
      </c>
      <c r="B58" s="39">
        <v>1.88</v>
      </c>
      <c r="C58" s="39">
        <v>1.88</v>
      </c>
      <c r="D58" s="39">
        <v>1.88</v>
      </c>
      <c r="E58" s="39">
        <v>1.88</v>
      </c>
      <c r="F58" s="39">
        <v>1.88</v>
      </c>
      <c r="G58" s="39">
        <v>1.88</v>
      </c>
      <c r="H58" s="39">
        <v>1.88</v>
      </c>
      <c r="I58" s="39">
        <v>1.88</v>
      </c>
      <c r="J58" s="39">
        <v>0.94</v>
      </c>
      <c r="K58" s="39">
        <v>1.88</v>
      </c>
      <c r="L58" s="39">
        <v>1.88</v>
      </c>
      <c r="M58" s="39">
        <v>1.88</v>
      </c>
      <c r="N58" s="39">
        <v>1.88</v>
      </c>
      <c r="O58" s="39">
        <v>1.88</v>
      </c>
      <c r="P58" s="39">
        <v>1.88</v>
      </c>
      <c r="Q58" s="39">
        <v>1.88</v>
      </c>
      <c r="R58" s="39">
        <v>1.88</v>
      </c>
      <c r="S58" s="39">
        <v>1.88</v>
      </c>
      <c r="T58" s="39">
        <v>1.88</v>
      </c>
      <c r="U58" s="39">
        <v>1.88</v>
      </c>
      <c r="V58" s="39">
        <v>0.94</v>
      </c>
      <c r="W58" s="39">
        <v>0.94</v>
      </c>
      <c r="X58" s="39">
        <v>0.94</v>
      </c>
      <c r="Y58" s="39"/>
      <c r="Z58" s="39"/>
      <c r="AA58" s="39"/>
      <c r="AB58" s="39"/>
      <c r="AC58" s="39"/>
      <c r="AD58" s="39"/>
      <c r="AE58" s="39"/>
      <c r="AF58" s="7"/>
    </row>
    <row r="59" spans="1:32" ht="15" x14ac:dyDescent="0.25">
      <c r="A59" s="6" t="s">
        <v>66</v>
      </c>
      <c r="B59" s="39">
        <v>1.88</v>
      </c>
      <c r="C59" s="39">
        <v>1.88</v>
      </c>
      <c r="D59" s="39">
        <v>1.88</v>
      </c>
      <c r="E59" s="39">
        <v>1.88</v>
      </c>
      <c r="F59" s="39">
        <v>1.88</v>
      </c>
      <c r="G59" s="39">
        <v>1.88</v>
      </c>
      <c r="H59" s="39">
        <v>1.88</v>
      </c>
      <c r="I59" s="39">
        <v>1.88</v>
      </c>
      <c r="J59" s="39">
        <v>0.94</v>
      </c>
      <c r="K59" s="39">
        <v>1.88</v>
      </c>
      <c r="L59" s="39">
        <v>1.88</v>
      </c>
      <c r="M59" s="39">
        <v>1.88</v>
      </c>
      <c r="N59" s="39">
        <v>1.88</v>
      </c>
      <c r="O59" s="39">
        <v>1.88</v>
      </c>
      <c r="P59" s="39">
        <v>1.88</v>
      </c>
      <c r="Q59" s="39">
        <v>1.88</v>
      </c>
      <c r="R59" s="39">
        <v>1.88</v>
      </c>
      <c r="S59" s="39">
        <v>1.88</v>
      </c>
      <c r="T59" s="39">
        <v>1.88</v>
      </c>
      <c r="U59" s="39">
        <v>1.88</v>
      </c>
      <c r="V59" s="39">
        <v>0.94</v>
      </c>
      <c r="W59" s="39">
        <v>0.94</v>
      </c>
      <c r="X59" s="39">
        <v>0.94</v>
      </c>
      <c r="Y59" s="39"/>
      <c r="Z59" s="39"/>
      <c r="AA59" s="39"/>
      <c r="AB59" s="39"/>
      <c r="AC59" s="39"/>
      <c r="AD59" s="39"/>
      <c r="AE59" s="39"/>
      <c r="AF59" s="7"/>
    </row>
    <row r="60" spans="1:32" ht="15" x14ac:dyDescent="0.25">
      <c r="A60" s="6" t="s">
        <v>67</v>
      </c>
      <c r="B60" s="39">
        <v>1.88</v>
      </c>
      <c r="C60" s="39">
        <v>1.88</v>
      </c>
      <c r="D60" s="39">
        <v>1.88</v>
      </c>
      <c r="E60" s="39">
        <v>1.88</v>
      </c>
      <c r="F60" s="39">
        <v>1.88</v>
      </c>
      <c r="G60" s="39">
        <v>1.88</v>
      </c>
      <c r="H60" s="39">
        <v>1.88</v>
      </c>
      <c r="I60" s="39">
        <v>1.88</v>
      </c>
      <c r="J60" s="39">
        <v>0.94</v>
      </c>
      <c r="K60" s="39">
        <v>0</v>
      </c>
      <c r="L60" s="39">
        <v>1.88</v>
      </c>
      <c r="M60" s="39">
        <v>1.88</v>
      </c>
      <c r="N60" s="39">
        <v>1.88</v>
      </c>
      <c r="O60" s="39">
        <v>1.88</v>
      </c>
      <c r="P60" s="39">
        <v>1.88</v>
      </c>
      <c r="Q60" s="39">
        <v>1.88</v>
      </c>
      <c r="R60" s="39">
        <v>1.88</v>
      </c>
      <c r="S60" s="39">
        <v>1.88</v>
      </c>
      <c r="T60" s="39">
        <v>0</v>
      </c>
      <c r="U60" s="39">
        <v>1.88</v>
      </c>
      <c r="V60" s="39">
        <v>0.94</v>
      </c>
      <c r="W60" s="39">
        <v>0.94</v>
      </c>
      <c r="X60" s="39">
        <v>0.94</v>
      </c>
      <c r="Y60" s="39"/>
      <c r="Z60" s="39"/>
      <c r="AA60" s="39"/>
      <c r="AB60" s="39"/>
      <c r="AC60" s="39"/>
      <c r="AD60" s="39"/>
      <c r="AE60" s="39"/>
      <c r="AF60" s="7"/>
    </row>
    <row r="61" spans="1:32" ht="15" x14ac:dyDescent="0.25">
      <c r="A61" s="6" t="s">
        <v>68</v>
      </c>
      <c r="B61" s="39">
        <v>1.88</v>
      </c>
      <c r="C61" s="39">
        <v>1.88</v>
      </c>
      <c r="D61" s="39">
        <v>1.88</v>
      </c>
      <c r="E61" s="39">
        <v>1.88</v>
      </c>
      <c r="F61" s="39">
        <v>1.88</v>
      </c>
      <c r="G61" s="39">
        <v>1.88</v>
      </c>
      <c r="H61" s="39">
        <v>1.88</v>
      </c>
      <c r="I61" s="39">
        <v>1.88</v>
      </c>
      <c r="J61" s="39">
        <v>0</v>
      </c>
      <c r="K61" s="39">
        <v>0</v>
      </c>
      <c r="L61" s="39">
        <v>0</v>
      </c>
      <c r="M61" s="39">
        <v>1.88</v>
      </c>
      <c r="N61" s="39">
        <v>1.88</v>
      </c>
      <c r="O61" s="39">
        <v>1.88</v>
      </c>
      <c r="P61" s="39">
        <v>1.88</v>
      </c>
      <c r="Q61" s="39">
        <v>1.88</v>
      </c>
      <c r="R61" s="39">
        <v>1.88</v>
      </c>
      <c r="S61" s="39">
        <v>1.88</v>
      </c>
      <c r="T61" s="39">
        <v>0</v>
      </c>
      <c r="U61" s="39">
        <v>0</v>
      </c>
      <c r="V61" s="39">
        <v>0.94</v>
      </c>
      <c r="W61" s="39">
        <v>0.94</v>
      </c>
      <c r="X61" s="39">
        <v>0.94</v>
      </c>
      <c r="Y61" s="39"/>
      <c r="Z61" s="39"/>
      <c r="AA61" s="39"/>
      <c r="AB61" s="39"/>
      <c r="AC61" s="39"/>
      <c r="AD61" s="39"/>
      <c r="AE61" s="39"/>
      <c r="AF61" s="7"/>
    </row>
    <row r="62" spans="1:32" ht="15" x14ac:dyDescent="0.25">
      <c r="A62" s="6" t="s">
        <v>69</v>
      </c>
      <c r="B62" s="39">
        <v>1.88</v>
      </c>
      <c r="C62" s="39">
        <v>1.88</v>
      </c>
      <c r="D62" s="39">
        <v>0</v>
      </c>
      <c r="E62" s="39">
        <v>1.88</v>
      </c>
      <c r="F62" s="39">
        <v>0</v>
      </c>
      <c r="G62" s="39">
        <v>1.88</v>
      </c>
      <c r="H62" s="39">
        <v>1.88</v>
      </c>
      <c r="I62" s="39">
        <v>0</v>
      </c>
      <c r="J62" s="39">
        <v>0</v>
      </c>
      <c r="K62" s="39">
        <v>0</v>
      </c>
      <c r="L62" s="39">
        <v>0</v>
      </c>
      <c r="M62" s="39">
        <v>1.88</v>
      </c>
      <c r="N62" s="39">
        <v>1.88</v>
      </c>
      <c r="O62" s="39">
        <v>1.88</v>
      </c>
      <c r="P62" s="39">
        <v>1.88</v>
      </c>
      <c r="Q62" s="39">
        <v>1.88</v>
      </c>
      <c r="R62" s="39">
        <v>0</v>
      </c>
      <c r="S62" s="39">
        <v>0</v>
      </c>
      <c r="T62" s="39">
        <v>0</v>
      </c>
      <c r="U62" s="39">
        <v>0</v>
      </c>
      <c r="V62" s="39">
        <v>0.94</v>
      </c>
      <c r="W62" s="39">
        <v>0.94</v>
      </c>
      <c r="X62" s="39">
        <v>0.94</v>
      </c>
      <c r="Y62" s="39"/>
      <c r="Z62" s="39"/>
      <c r="AA62" s="39"/>
      <c r="AB62" s="39"/>
      <c r="AC62" s="39"/>
      <c r="AD62" s="39"/>
      <c r="AE62" s="39"/>
      <c r="AF62" s="7"/>
    </row>
    <row r="63" spans="1:32" ht="15" x14ac:dyDescent="0.25">
      <c r="A63" s="6" t="s">
        <v>70</v>
      </c>
      <c r="B63" s="39">
        <v>1.88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1.88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1.88</v>
      </c>
      <c r="O63" s="39">
        <v>1.88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0.94</v>
      </c>
      <c r="W63" s="39">
        <v>0.94</v>
      </c>
      <c r="X63" s="39">
        <v>0.94</v>
      </c>
      <c r="Y63" s="39"/>
      <c r="Z63" s="39"/>
      <c r="AA63" s="39"/>
      <c r="AB63" s="39"/>
      <c r="AC63" s="39"/>
      <c r="AD63" s="39"/>
      <c r="AE63" s="39"/>
      <c r="AF63" s="7"/>
    </row>
    <row r="64" spans="1:32" ht="15" x14ac:dyDescent="0.25">
      <c r="A64" s="6" t="s">
        <v>71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1.88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1.88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v>0</v>
      </c>
      <c r="V64" s="39">
        <v>0.94</v>
      </c>
      <c r="W64" s="39">
        <v>0.94</v>
      </c>
      <c r="X64" s="39">
        <v>0.94</v>
      </c>
      <c r="Y64" s="39"/>
      <c r="Z64" s="39"/>
      <c r="AA64" s="39"/>
      <c r="AB64" s="39"/>
      <c r="AC64" s="39"/>
      <c r="AD64" s="39"/>
      <c r="AE64" s="39"/>
      <c r="AF64" s="7"/>
    </row>
    <row r="65" spans="1:32" ht="15" x14ac:dyDescent="0.25">
      <c r="A65" s="6" t="s">
        <v>72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1.88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1.88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0.94</v>
      </c>
      <c r="W65" s="39">
        <v>0</v>
      </c>
      <c r="X65" s="39">
        <v>0.94</v>
      </c>
      <c r="Y65" s="39"/>
      <c r="Z65" s="39"/>
      <c r="AA65" s="39"/>
      <c r="AB65" s="39"/>
      <c r="AC65" s="39"/>
      <c r="AD65" s="39"/>
      <c r="AE65" s="39"/>
      <c r="AF65" s="7"/>
    </row>
    <row r="66" spans="1:32" ht="15" x14ac:dyDescent="0.25">
      <c r="A66" s="6" t="s">
        <v>73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1.88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1.88</v>
      </c>
      <c r="P66" s="39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0.94</v>
      </c>
      <c r="W66" s="39">
        <v>0</v>
      </c>
      <c r="X66" s="39">
        <v>0.94</v>
      </c>
      <c r="Y66" s="39"/>
      <c r="Z66" s="39"/>
      <c r="AA66" s="39"/>
      <c r="AB66" s="39"/>
      <c r="AC66" s="39"/>
      <c r="AD66" s="39"/>
      <c r="AE66" s="39"/>
      <c r="AF66" s="7"/>
    </row>
    <row r="67" spans="1:32" ht="15" x14ac:dyDescent="0.25">
      <c r="A67" s="6" t="s">
        <v>74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1.88</v>
      </c>
      <c r="I67" s="39">
        <v>0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1.88</v>
      </c>
      <c r="P67" s="39">
        <v>0</v>
      </c>
      <c r="Q67" s="39">
        <v>0</v>
      </c>
      <c r="R67" s="39">
        <v>0</v>
      </c>
      <c r="S67" s="39">
        <v>0</v>
      </c>
      <c r="T67" s="39">
        <v>0</v>
      </c>
      <c r="U67" s="39">
        <v>0</v>
      </c>
      <c r="V67" s="39">
        <v>0.94</v>
      </c>
      <c r="W67" s="39">
        <v>0</v>
      </c>
      <c r="X67" s="39">
        <v>0.94</v>
      </c>
      <c r="Y67" s="39"/>
      <c r="Z67" s="39"/>
      <c r="AA67" s="39"/>
      <c r="AB67" s="39"/>
      <c r="AC67" s="39"/>
      <c r="AD67" s="39"/>
      <c r="AE67" s="39"/>
      <c r="AF67" s="7"/>
    </row>
    <row r="68" spans="1:32" ht="15" x14ac:dyDescent="0.25">
      <c r="A68" s="6" t="s">
        <v>75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1.88</v>
      </c>
      <c r="P68" s="39">
        <v>0</v>
      </c>
      <c r="Q68" s="39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0.94</v>
      </c>
      <c r="W68" s="39">
        <v>0</v>
      </c>
      <c r="X68" s="39">
        <v>0.94</v>
      </c>
      <c r="Y68" s="39"/>
      <c r="Z68" s="39"/>
      <c r="AA68" s="39"/>
      <c r="AB68" s="39"/>
      <c r="AC68" s="39"/>
      <c r="AD68" s="39"/>
      <c r="AE68" s="39"/>
      <c r="AF68" s="7"/>
    </row>
    <row r="69" spans="1:32" ht="15" x14ac:dyDescent="0.25">
      <c r="A69" s="6" t="s">
        <v>76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1.88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0.94</v>
      </c>
      <c r="W69" s="39">
        <v>0</v>
      </c>
      <c r="X69" s="39">
        <v>0</v>
      </c>
      <c r="Y69" s="39"/>
      <c r="Z69" s="39"/>
      <c r="AA69" s="39"/>
      <c r="AB69" s="39"/>
      <c r="AC69" s="39"/>
      <c r="AD69" s="39"/>
      <c r="AE69" s="39"/>
      <c r="AF69" s="7"/>
    </row>
    <row r="70" spans="1:32" ht="15" x14ac:dyDescent="0.25">
      <c r="A70" s="6" t="s">
        <v>77</v>
      </c>
      <c r="B70" s="39">
        <v>0</v>
      </c>
      <c r="C70" s="39">
        <v>0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1.88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0.94</v>
      </c>
      <c r="W70" s="39">
        <v>0</v>
      </c>
      <c r="X70" s="39">
        <v>0</v>
      </c>
      <c r="Y70" s="39"/>
      <c r="Z70" s="39"/>
      <c r="AA70" s="39"/>
      <c r="AB70" s="39"/>
      <c r="AC70" s="39"/>
      <c r="AD70" s="39"/>
      <c r="AE70" s="39"/>
      <c r="AF70" s="7"/>
    </row>
    <row r="71" spans="1:32" ht="15" x14ac:dyDescent="0.25">
      <c r="A71" s="6" t="s">
        <v>78</v>
      </c>
      <c r="B71" s="39">
        <v>0</v>
      </c>
      <c r="C71" s="39">
        <v>0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1.88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0.94</v>
      </c>
      <c r="W71" s="39">
        <v>0</v>
      </c>
      <c r="X71" s="39">
        <v>0</v>
      </c>
      <c r="Y71" s="39"/>
      <c r="Z71" s="39"/>
      <c r="AA71" s="39"/>
      <c r="AB71" s="39"/>
      <c r="AC71" s="39"/>
      <c r="AD71" s="39"/>
      <c r="AE71" s="39"/>
      <c r="AF71" s="7"/>
    </row>
    <row r="72" spans="1:32" ht="15" x14ac:dyDescent="0.25">
      <c r="A72" s="6" t="s">
        <v>79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1.88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0.94</v>
      </c>
      <c r="W72" s="39">
        <v>0</v>
      </c>
      <c r="X72" s="39">
        <v>0</v>
      </c>
      <c r="Y72" s="39"/>
      <c r="Z72" s="39"/>
      <c r="AA72" s="39"/>
      <c r="AB72" s="39"/>
      <c r="AC72" s="39"/>
      <c r="AD72" s="39"/>
      <c r="AE72" s="39"/>
      <c r="AF72" s="7"/>
    </row>
    <row r="73" spans="1:32" ht="15" x14ac:dyDescent="0.25">
      <c r="A73" s="6" t="s">
        <v>80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1.88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0.57999999999999996</v>
      </c>
      <c r="W73" s="39">
        <v>0</v>
      </c>
      <c r="X73" s="39">
        <v>0</v>
      </c>
      <c r="Y73" s="39"/>
      <c r="Z73" s="39"/>
      <c r="AA73" s="39"/>
      <c r="AB73" s="39"/>
      <c r="AC73" s="39"/>
      <c r="AD73" s="39"/>
      <c r="AE73" s="39"/>
      <c r="AF73" s="7"/>
    </row>
    <row r="74" spans="1:32" ht="15" x14ac:dyDescent="0.25">
      <c r="A74" s="6" t="s">
        <v>81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1.88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/>
      <c r="Z74" s="39"/>
      <c r="AA74" s="39"/>
      <c r="AB74" s="39"/>
      <c r="AC74" s="39"/>
      <c r="AD74" s="39"/>
      <c r="AE74" s="39"/>
      <c r="AF74" s="7"/>
    </row>
    <row r="75" spans="1:32" ht="15" x14ac:dyDescent="0.25">
      <c r="A75" s="6" t="s">
        <v>82</v>
      </c>
      <c r="B75" s="39">
        <v>1.88</v>
      </c>
      <c r="C75" s="39">
        <v>1.88</v>
      </c>
      <c r="D75" s="39">
        <v>1.88</v>
      </c>
      <c r="E75" s="39">
        <v>1.88</v>
      </c>
      <c r="F75" s="39">
        <v>1.88</v>
      </c>
      <c r="G75" s="39">
        <v>1.88</v>
      </c>
      <c r="H75" s="39">
        <v>1.88</v>
      </c>
      <c r="I75" s="39">
        <v>1.88</v>
      </c>
      <c r="J75" s="39">
        <v>0.94</v>
      </c>
      <c r="K75" s="39">
        <v>1.88</v>
      </c>
      <c r="L75" s="39">
        <v>1.88</v>
      </c>
      <c r="M75" s="39">
        <v>1.88</v>
      </c>
      <c r="N75" s="39">
        <v>1.88</v>
      </c>
      <c r="O75" s="39">
        <v>1.88</v>
      </c>
      <c r="P75" s="39">
        <v>1.88</v>
      </c>
      <c r="Q75" s="39">
        <v>1.88</v>
      </c>
      <c r="R75" s="39">
        <v>1.88</v>
      </c>
      <c r="S75" s="39">
        <v>1.88</v>
      </c>
      <c r="T75" s="39">
        <v>1.88</v>
      </c>
      <c r="U75" s="39">
        <v>1.88</v>
      </c>
      <c r="V75" s="39">
        <v>0.94</v>
      </c>
      <c r="W75" s="39">
        <v>0.94</v>
      </c>
      <c r="X75" s="39">
        <v>0.94</v>
      </c>
      <c r="Y75" s="39"/>
      <c r="Z75" s="39"/>
      <c r="AA75" s="39"/>
      <c r="AB75" s="39"/>
      <c r="AC75" s="39"/>
      <c r="AD75" s="39"/>
      <c r="AE75" s="39"/>
      <c r="AF75" s="7"/>
    </row>
    <row r="76" spans="1:32" ht="15" x14ac:dyDescent="0.25">
      <c r="A76" s="6" t="s">
        <v>83</v>
      </c>
      <c r="B76" s="39">
        <v>1.88</v>
      </c>
      <c r="C76" s="39">
        <v>1.88</v>
      </c>
      <c r="D76" s="39">
        <v>1.88</v>
      </c>
      <c r="E76" s="39">
        <v>1.88</v>
      </c>
      <c r="F76" s="39">
        <v>1.88</v>
      </c>
      <c r="G76" s="39">
        <v>1.88</v>
      </c>
      <c r="H76" s="39">
        <v>1.88</v>
      </c>
      <c r="I76" s="39">
        <v>1.88</v>
      </c>
      <c r="J76" s="39">
        <v>0.94</v>
      </c>
      <c r="K76" s="39">
        <v>1.88</v>
      </c>
      <c r="L76" s="39">
        <v>1.88</v>
      </c>
      <c r="M76" s="39">
        <v>1.88</v>
      </c>
      <c r="N76" s="39">
        <v>1.88</v>
      </c>
      <c r="O76" s="39">
        <v>1.88</v>
      </c>
      <c r="P76" s="39">
        <v>1.88</v>
      </c>
      <c r="Q76" s="39">
        <v>1.88</v>
      </c>
      <c r="R76" s="39">
        <v>1.88</v>
      </c>
      <c r="S76" s="39">
        <v>1.88</v>
      </c>
      <c r="T76" s="39">
        <v>0</v>
      </c>
      <c r="U76" s="39">
        <v>1.88</v>
      </c>
      <c r="V76" s="39">
        <v>0.94</v>
      </c>
      <c r="W76" s="39">
        <v>0.94</v>
      </c>
      <c r="X76" s="39">
        <v>0.94</v>
      </c>
      <c r="Y76" s="39"/>
      <c r="Z76" s="39"/>
      <c r="AA76" s="39"/>
      <c r="AB76" s="39"/>
      <c r="AC76" s="39"/>
      <c r="AD76" s="39"/>
      <c r="AE76" s="39"/>
      <c r="AF76" s="7"/>
    </row>
    <row r="77" spans="1:32" ht="15" x14ac:dyDescent="0.25">
      <c r="A77" s="6" t="s">
        <v>84</v>
      </c>
      <c r="B77" s="39">
        <v>0</v>
      </c>
      <c r="C77" s="39">
        <v>1.88</v>
      </c>
      <c r="D77" s="39">
        <v>1.88</v>
      </c>
      <c r="E77" s="39">
        <v>0</v>
      </c>
      <c r="F77" s="39">
        <v>0</v>
      </c>
      <c r="G77" s="39">
        <v>1.88</v>
      </c>
      <c r="H77" s="39">
        <v>1.88</v>
      </c>
      <c r="I77" s="39">
        <v>1.88</v>
      </c>
      <c r="J77" s="39">
        <v>0.94</v>
      </c>
      <c r="K77" s="39">
        <v>1.88</v>
      </c>
      <c r="L77" s="39">
        <v>1.88</v>
      </c>
      <c r="M77" s="39">
        <v>1.88</v>
      </c>
      <c r="N77" s="39">
        <v>1.88</v>
      </c>
      <c r="O77" s="39">
        <v>1.88</v>
      </c>
      <c r="P77" s="39">
        <v>1.88</v>
      </c>
      <c r="Q77" s="39">
        <v>1.88</v>
      </c>
      <c r="R77" s="39">
        <v>1.88</v>
      </c>
      <c r="S77" s="39">
        <v>1.88</v>
      </c>
      <c r="T77" s="39">
        <v>0</v>
      </c>
      <c r="U77" s="39">
        <v>0</v>
      </c>
      <c r="V77" s="39">
        <v>0.94</v>
      </c>
      <c r="W77" s="39">
        <v>0.94</v>
      </c>
      <c r="X77" s="39">
        <v>0.94</v>
      </c>
      <c r="Y77" s="39"/>
      <c r="Z77" s="39"/>
      <c r="AA77" s="39"/>
      <c r="AB77" s="39"/>
      <c r="AC77" s="39"/>
      <c r="AD77" s="39"/>
      <c r="AE77" s="39"/>
      <c r="AF77" s="7"/>
    </row>
    <row r="78" spans="1:32" ht="15" x14ac:dyDescent="0.25">
      <c r="A78" s="6" t="s">
        <v>85</v>
      </c>
      <c r="B78" s="39">
        <v>0</v>
      </c>
      <c r="C78" s="39">
        <v>0</v>
      </c>
      <c r="D78" s="39">
        <v>0</v>
      </c>
      <c r="E78" s="39">
        <v>0</v>
      </c>
      <c r="F78" s="39">
        <v>0</v>
      </c>
      <c r="G78" s="39">
        <v>1.88</v>
      </c>
      <c r="H78" s="39">
        <v>1.88</v>
      </c>
      <c r="I78" s="39">
        <v>0</v>
      </c>
      <c r="J78" s="39">
        <v>0</v>
      </c>
      <c r="K78" s="39">
        <v>0</v>
      </c>
      <c r="L78" s="39">
        <v>1.88</v>
      </c>
      <c r="M78" s="39">
        <v>1.88</v>
      </c>
      <c r="N78" s="39">
        <v>1.88</v>
      </c>
      <c r="O78" s="39">
        <v>1.88</v>
      </c>
      <c r="P78" s="39">
        <v>1.88</v>
      </c>
      <c r="Q78" s="39">
        <v>1.88</v>
      </c>
      <c r="R78" s="39">
        <v>0</v>
      </c>
      <c r="S78" s="39">
        <v>1.88</v>
      </c>
      <c r="T78" s="39">
        <v>0</v>
      </c>
      <c r="U78" s="39">
        <v>0</v>
      </c>
      <c r="V78" s="39">
        <v>0.94</v>
      </c>
      <c r="W78" s="39">
        <v>0</v>
      </c>
      <c r="X78" s="39">
        <v>0.94</v>
      </c>
      <c r="Y78" s="39"/>
      <c r="Z78" s="39"/>
      <c r="AA78" s="39"/>
      <c r="AB78" s="39"/>
      <c r="AC78" s="39"/>
      <c r="AD78" s="39"/>
      <c r="AE78" s="39"/>
      <c r="AF78" s="7"/>
    </row>
    <row r="79" spans="1:32" ht="15" x14ac:dyDescent="0.25">
      <c r="A79" s="6" t="s">
        <v>86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1.88</v>
      </c>
      <c r="I79" s="39">
        <v>0</v>
      </c>
      <c r="J79" s="39">
        <v>0</v>
      </c>
      <c r="K79" s="39">
        <v>0</v>
      </c>
      <c r="L79" s="39">
        <v>1.88</v>
      </c>
      <c r="M79" s="39">
        <v>1.88</v>
      </c>
      <c r="N79" s="39">
        <v>1.88</v>
      </c>
      <c r="O79" s="39">
        <v>1.88</v>
      </c>
      <c r="P79" s="39">
        <v>1.88</v>
      </c>
      <c r="Q79" s="39">
        <v>1.88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/>
      <c r="Z79" s="39"/>
      <c r="AA79" s="39"/>
      <c r="AB79" s="39"/>
      <c r="AC79" s="39"/>
      <c r="AD79" s="39"/>
      <c r="AE79" s="39"/>
      <c r="AF79" s="7"/>
    </row>
    <row r="80" spans="1:32" ht="15" x14ac:dyDescent="0.25">
      <c r="A80" s="6" t="s">
        <v>87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1.88</v>
      </c>
      <c r="I80" s="39">
        <v>0</v>
      </c>
      <c r="J80" s="39">
        <v>0</v>
      </c>
      <c r="K80" s="39">
        <v>0</v>
      </c>
      <c r="L80" s="39">
        <v>0</v>
      </c>
      <c r="M80" s="39">
        <v>1.88</v>
      </c>
      <c r="N80" s="39">
        <v>1.88</v>
      </c>
      <c r="O80" s="39">
        <v>1.88</v>
      </c>
      <c r="P80" s="39">
        <v>1.88</v>
      </c>
      <c r="Q80" s="39">
        <v>1.88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/>
      <c r="Z80" s="39"/>
      <c r="AA80" s="39"/>
      <c r="AB80" s="39"/>
      <c r="AC80" s="39"/>
      <c r="AD80" s="39"/>
      <c r="AE80" s="39"/>
      <c r="AF80" s="7"/>
    </row>
    <row r="81" spans="1:32" ht="15" x14ac:dyDescent="0.25">
      <c r="A81" s="6" t="s">
        <v>88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1.88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1.88</v>
      </c>
      <c r="O81" s="39">
        <v>1.88</v>
      </c>
      <c r="P81" s="39">
        <v>1.88</v>
      </c>
      <c r="Q81" s="39">
        <v>1.88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/>
      <c r="Z81" s="39"/>
      <c r="AA81" s="39"/>
      <c r="AB81" s="39"/>
      <c r="AC81" s="39"/>
      <c r="AD81" s="39"/>
      <c r="AE81" s="39"/>
      <c r="AF81" s="7"/>
    </row>
    <row r="82" spans="1:32" ht="15" x14ac:dyDescent="0.25">
      <c r="A82" s="6" t="s">
        <v>89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1.88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1.88</v>
      </c>
      <c r="O82" s="39">
        <v>1.88</v>
      </c>
      <c r="P82" s="39">
        <v>1.88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/>
      <c r="Z82" s="39"/>
      <c r="AA82" s="39"/>
      <c r="AB82" s="39"/>
      <c r="AC82" s="39"/>
      <c r="AD82" s="39"/>
      <c r="AE82" s="39"/>
      <c r="AF82" s="7"/>
    </row>
    <row r="83" spans="1:32" ht="15" x14ac:dyDescent="0.25">
      <c r="A83" s="6" t="s">
        <v>90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1.88</v>
      </c>
      <c r="O83" s="39">
        <v>1.88</v>
      </c>
      <c r="P83" s="39">
        <v>1.88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/>
      <c r="Z83" s="39"/>
      <c r="AA83" s="39"/>
      <c r="AB83" s="39"/>
      <c r="AC83" s="39"/>
      <c r="AD83" s="39"/>
      <c r="AE83" s="39"/>
      <c r="AF83" s="7"/>
    </row>
    <row r="84" spans="1:32" ht="15" x14ac:dyDescent="0.25">
      <c r="A84" s="6" t="s">
        <v>91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1.88</v>
      </c>
      <c r="O84" s="39">
        <v>1.88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/>
      <c r="Z84" s="39"/>
      <c r="AA84" s="39"/>
      <c r="AB84" s="39"/>
      <c r="AC84" s="39"/>
      <c r="AD84" s="39"/>
      <c r="AE84" s="39"/>
      <c r="AF84" s="7"/>
    </row>
    <row r="85" spans="1:32" ht="15" x14ac:dyDescent="0.25">
      <c r="A85" s="6" t="s">
        <v>92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1.88</v>
      </c>
      <c r="O85" s="39">
        <v>1.88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/>
      <c r="Z85" s="39"/>
      <c r="AA85" s="39"/>
      <c r="AB85" s="39"/>
      <c r="AC85" s="39"/>
      <c r="AD85" s="39"/>
      <c r="AE85" s="39"/>
      <c r="AF85" s="7"/>
    </row>
    <row r="86" spans="1:32" ht="15" x14ac:dyDescent="0.25">
      <c r="A86" s="6" t="s">
        <v>93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1.88</v>
      </c>
      <c r="O86" s="39">
        <v>1.88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/>
      <c r="Z86" s="39"/>
      <c r="AA86" s="39"/>
      <c r="AB86" s="39"/>
      <c r="AC86" s="39"/>
      <c r="AD86" s="39"/>
      <c r="AE86" s="39"/>
      <c r="AF86" s="7"/>
    </row>
    <row r="87" spans="1:32" ht="15" x14ac:dyDescent="0.25">
      <c r="A87" s="6" t="s">
        <v>94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1.88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/>
      <c r="Z87" s="39"/>
      <c r="AA87" s="39"/>
      <c r="AB87" s="39"/>
      <c r="AC87" s="39"/>
      <c r="AD87" s="39"/>
      <c r="AE87" s="39"/>
      <c r="AF87" s="7"/>
    </row>
    <row r="88" spans="1:32" ht="15" x14ac:dyDescent="0.25">
      <c r="A88" s="6" t="s">
        <v>95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1.88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/>
      <c r="Z88" s="39"/>
      <c r="AA88" s="39"/>
      <c r="AB88" s="39"/>
      <c r="AC88" s="39"/>
      <c r="AD88" s="39"/>
      <c r="AE88" s="39"/>
      <c r="AF88" s="7"/>
    </row>
    <row r="89" spans="1:32" ht="15" x14ac:dyDescent="0.25">
      <c r="A89" s="6" t="s">
        <v>96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1.88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/>
      <c r="Z89" s="39"/>
      <c r="AA89" s="39"/>
      <c r="AB89" s="39"/>
      <c r="AC89" s="39"/>
      <c r="AD89" s="39"/>
      <c r="AE89" s="39"/>
      <c r="AF89" s="7"/>
    </row>
    <row r="90" spans="1:32" ht="15" x14ac:dyDescent="0.25">
      <c r="A90" s="6" t="s">
        <v>97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1.88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/>
      <c r="Z90" s="39"/>
      <c r="AA90" s="39"/>
      <c r="AB90" s="39"/>
      <c r="AC90" s="39"/>
      <c r="AD90" s="39"/>
      <c r="AE90" s="39"/>
      <c r="AF90" s="7"/>
    </row>
    <row r="91" spans="1:32" ht="15" x14ac:dyDescent="0.25">
      <c r="A91" s="6" t="s">
        <v>98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/>
      <c r="Z91" s="39"/>
      <c r="AA91" s="39"/>
      <c r="AB91" s="39"/>
      <c r="AC91" s="39"/>
      <c r="AD91" s="39"/>
      <c r="AE91" s="39"/>
      <c r="AF91" s="7"/>
    </row>
    <row r="92" spans="1:32" ht="15" x14ac:dyDescent="0.25">
      <c r="A92" s="6" t="s">
        <v>99</v>
      </c>
      <c r="B92" s="39">
        <v>0</v>
      </c>
      <c r="C92" s="39">
        <v>0</v>
      </c>
      <c r="D92" s="39">
        <v>0</v>
      </c>
      <c r="E92" s="39">
        <v>0</v>
      </c>
      <c r="F92" s="39">
        <v>0</v>
      </c>
      <c r="G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/>
      <c r="Z92" s="39"/>
      <c r="AA92" s="39"/>
      <c r="AB92" s="39"/>
      <c r="AC92" s="39"/>
      <c r="AD92" s="39"/>
      <c r="AE92" s="39"/>
      <c r="AF92" s="7"/>
    </row>
    <row r="93" spans="1:32" ht="15" x14ac:dyDescent="0.25">
      <c r="A93" s="6" t="s">
        <v>100</v>
      </c>
      <c r="B93" s="39">
        <v>0</v>
      </c>
      <c r="C93" s="39">
        <v>0</v>
      </c>
      <c r="D93" s="39">
        <v>0</v>
      </c>
      <c r="E93" s="39">
        <v>0</v>
      </c>
      <c r="F93" s="39">
        <v>0</v>
      </c>
      <c r="G93" s="39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/>
      <c r="Z93" s="39"/>
      <c r="AA93" s="39"/>
      <c r="AB93" s="39"/>
      <c r="AC93" s="39"/>
      <c r="AD93" s="39"/>
      <c r="AE93" s="39"/>
      <c r="AF93" s="7"/>
    </row>
    <row r="94" spans="1:32" ht="15" x14ac:dyDescent="0.25">
      <c r="A94" s="6" t="s">
        <v>101</v>
      </c>
      <c r="B94" s="39">
        <v>0</v>
      </c>
      <c r="C94" s="39">
        <v>0</v>
      </c>
      <c r="D94" s="39">
        <v>0</v>
      </c>
      <c r="E94" s="39">
        <v>0</v>
      </c>
      <c r="F94" s="39">
        <v>0</v>
      </c>
      <c r="G94" s="39">
        <v>0</v>
      </c>
      <c r="H94" s="39">
        <v>0</v>
      </c>
      <c r="I94" s="39">
        <v>0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/>
      <c r="Z94" s="39"/>
      <c r="AA94" s="39"/>
      <c r="AB94" s="39"/>
      <c r="AC94" s="39"/>
      <c r="AD94" s="39"/>
      <c r="AE94" s="39"/>
      <c r="AF94" s="7"/>
    </row>
    <row r="95" spans="1:32" ht="15" x14ac:dyDescent="0.25">
      <c r="A95" s="6" t="s">
        <v>102</v>
      </c>
      <c r="B95" s="39">
        <v>0</v>
      </c>
      <c r="C95" s="39">
        <v>0</v>
      </c>
      <c r="D95" s="39">
        <v>0</v>
      </c>
      <c r="E95" s="39">
        <v>0</v>
      </c>
      <c r="F95" s="39">
        <v>0</v>
      </c>
      <c r="G95" s="39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/>
      <c r="Z95" s="39"/>
      <c r="AA95" s="39"/>
      <c r="AB95" s="39"/>
      <c r="AC95" s="39"/>
      <c r="AD95" s="39"/>
      <c r="AE95" s="39"/>
      <c r="AF95" s="7"/>
    </row>
    <row r="96" spans="1:32" ht="15" x14ac:dyDescent="0.25">
      <c r="A96" s="6" t="s">
        <v>103</v>
      </c>
      <c r="B96" s="39">
        <v>0</v>
      </c>
      <c r="C96" s="39">
        <v>0</v>
      </c>
      <c r="D96" s="39">
        <v>0</v>
      </c>
      <c r="E96" s="39">
        <v>0</v>
      </c>
      <c r="F96" s="39">
        <v>0</v>
      </c>
      <c r="G96" s="39">
        <v>0</v>
      </c>
      <c r="H96" s="39">
        <v>0</v>
      </c>
      <c r="I96" s="39">
        <v>0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/>
      <c r="Z96" s="39"/>
      <c r="AA96" s="39"/>
      <c r="AB96" s="39"/>
      <c r="AC96" s="39"/>
      <c r="AD96" s="39"/>
      <c r="AE96" s="39"/>
      <c r="AF96" s="7"/>
    </row>
    <row r="97" spans="1:34" ht="15" x14ac:dyDescent="0.25">
      <c r="A97" s="6" t="s">
        <v>104</v>
      </c>
      <c r="B97" s="39">
        <v>0</v>
      </c>
      <c r="C97" s="39">
        <v>0</v>
      </c>
      <c r="D97" s="39">
        <v>0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/>
      <c r="Z97" s="39"/>
      <c r="AA97" s="39"/>
      <c r="AB97" s="39"/>
      <c r="AC97" s="39"/>
      <c r="AD97" s="39"/>
      <c r="AE97" s="39"/>
      <c r="AF97" s="7"/>
    </row>
    <row r="98" spans="1:34" ht="15" x14ac:dyDescent="0.25">
      <c r="A98" s="8" t="s">
        <v>105</v>
      </c>
      <c r="B98" s="39">
        <v>0</v>
      </c>
      <c r="C98" s="39">
        <v>0</v>
      </c>
      <c r="D98" s="39">
        <v>0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/>
      <c r="Z98" s="39"/>
      <c r="AA98" s="39"/>
      <c r="AB98" s="39"/>
      <c r="AC98" s="39"/>
      <c r="AD98" s="39"/>
      <c r="AE98" s="39"/>
      <c r="AF98" s="7"/>
    </row>
    <row r="99" spans="1:34" x14ac:dyDescent="0.25">
      <c r="A99" s="9">
        <v>1</v>
      </c>
      <c r="B99" s="9">
        <v>2</v>
      </c>
      <c r="C99" s="9">
        <v>3</v>
      </c>
      <c r="D99" s="9">
        <v>4</v>
      </c>
      <c r="E99" s="9">
        <v>5</v>
      </c>
      <c r="F99" s="9">
        <v>6</v>
      </c>
      <c r="G99" s="9">
        <v>7</v>
      </c>
      <c r="H99" s="9">
        <v>8</v>
      </c>
      <c r="I99" s="9">
        <v>9</v>
      </c>
      <c r="J99" s="9">
        <v>10</v>
      </c>
      <c r="K99" s="9">
        <v>11</v>
      </c>
      <c r="L99" s="9">
        <v>12</v>
      </c>
      <c r="M99" s="9">
        <v>13</v>
      </c>
      <c r="N99" s="9">
        <v>14</v>
      </c>
      <c r="O99" s="9">
        <v>15</v>
      </c>
      <c r="P99" s="9">
        <v>16</v>
      </c>
      <c r="Q99" s="9">
        <v>17</v>
      </c>
      <c r="R99" s="9">
        <v>18</v>
      </c>
      <c r="S99" s="9">
        <v>19</v>
      </c>
      <c r="T99" s="9">
        <v>20</v>
      </c>
      <c r="U99" s="9">
        <v>21</v>
      </c>
      <c r="V99" s="9">
        <v>22</v>
      </c>
      <c r="W99" s="9">
        <v>23</v>
      </c>
      <c r="X99" s="9">
        <v>24</v>
      </c>
      <c r="Y99" s="9">
        <v>25</v>
      </c>
      <c r="Z99" s="9">
        <v>26</v>
      </c>
      <c r="AA99" s="9">
        <v>27</v>
      </c>
      <c r="AB99" s="9">
        <v>28</v>
      </c>
      <c r="AC99" s="9">
        <v>29</v>
      </c>
      <c r="AD99" s="9">
        <v>30</v>
      </c>
      <c r="AE99" s="9">
        <v>31</v>
      </c>
      <c r="AF99" s="9">
        <v>32</v>
      </c>
    </row>
    <row r="100" spans="1:34" x14ac:dyDescent="0.25">
      <c r="A100" s="10" t="s">
        <v>1</v>
      </c>
      <c r="B100" s="11">
        <f t="shared" ref="B100:AF100" si="0">(SUM(B27:B42)*1000)/4</f>
        <v>7519.9999999999973</v>
      </c>
      <c r="C100" s="11">
        <f t="shared" si="0"/>
        <v>7519.9999999999973</v>
      </c>
      <c r="D100" s="11">
        <f t="shared" si="0"/>
        <v>7519.9999999999973</v>
      </c>
      <c r="E100" s="11">
        <f t="shared" si="0"/>
        <v>7519.9999999999973</v>
      </c>
      <c r="F100" s="11">
        <f t="shared" si="0"/>
        <v>7049.9999999999973</v>
      </c>
      <c r="G100" s="11">
        <f t="shared" si="0"/>
        <v>7519.9999999999973</v>
      </c>
      <c r="H100" s="11">
        <f t="shared" si="0"/>
        <v>7519.9999999999973</v>
      </c>
      <c r="I100" s="11">
        <f t="shared" si="0"/>
        <v>7519.9999999999973</v>
      </c>
      <c r="J100" s="11">
        <f t="shared" si="0"/>
        <v>3524.9999999999986</v>
      </c>
      <c r="K100" s="11">
        <f t="shared" si="0"/>
        <v>7519.9999999999973</v>
      </c>
      <c r="L100" s="11">
        <f t="shared" si="0"/>
        <v>7519.9999999999973</v>
      </c>
      <c r="M100" s="11">
        <f t="shared" si="0"/>
        <v>7519.9999999999973</v>
      </c>
      <c r="N100" s="11">
        <f t="shared" si="0"/>
        <v>7519.9999999999973</v>
      </c>
      <c r="O100" s="11">
        <f t="shared" si="0"/>
        <v>7519.9999999999973</v>
      </c>
      <c r="P100" s="11">
        <f>(SUM(P27:P42)*1000)/4</f>
        <v>7519.9999999999973</v>
      </c>
      <c r="Q100" s="11">
        <f t="shared" si="0"/>
        <v>7519.9999999999973</v>
      </c>
      <c r="R100" s="11">
        <f t="shared" si="0"/>
        <v>7519.9999999999973</v>
      </c>
      <c r="S100" s="11">
        <f t="shared" si="0"/>
        <v>6109.9999999999973</v>
      </c>
      <c r="T100" s="11">
        <f t="shared" si="0"/>
        <v>5639.9999999999982</v>
      </c>
      <c r="U100" s="11">
        <f t="shared" si="0"/>
        <v>6109.9999999999973</v>
      </c>
      <c r="V100" s="11">
        <f t="shared" si="0"/>
        <v>3054.9999999999986</v>
      </c>
      <c r="W100" s="11">
        <f t="shared" si="0"/>
        <v>2819.9999999999991</v>
      </c>
      <c r="X100" s="11">
        <f t="shared" si="0"/>
        <v>3054.9999999999986</v>
      </c>
      <c r="Y100" s="11">
        <f t="shared" si="0"/>
        <v>0</v>
      </c>
      <c r="Z100" s="11">
        <f t="shared" si="0"/>
        <v>0</v>
      </c>
      <c r="AA100" s="11">
        <f t="shared" si="0"/>
        <v>0</v>
      </c>
      <c r="AB100" s="11">
        <f t="shared" si="0"/>
        <v>0</v>
      </c>
      <c r="AC100" s="11">
        <f t="shared" si="0"/>
        <v>0</v>
      </c>
      <c r="AD100" s="11">
        <f t="shared" si="0"/>
        <v>0</v>
      </c>
      <c r="AE100" s="11">
        <f t="shared" si="0"/>
        <v>0</v>
      </c>
      <c r="AF100" s="11">
        <f t="shared" si="0"/>
        <v>0</v>
      </c>
      <c r="AG100" s="11">
        <f>SUM(B100:AF100)</f>
        <v>150164.99999999997</v>
      </c>
      <c r="AH100" s="11"/>
    </row>
    <row r="101" spans="1:34" x14ac:dyDescent="0.25">
      <c r="A101" s="10" t="s">
        <v>4</v>
      </c>
      <c r="B101" s="11">
        <f t="shared" ref="B101:AF101" si="1">(SUM(B75:B90)*1000)/4</f>
        <v>940</v>
      </c>
      <c r="C101" s="11">
        <f t="shared" si="1"/>
        <v>1410</v>
      </c>
      <c r="D101" s="11">
        <f t="shared" si="1"/>
        <v>1410</v>
      </c>
      <c r="E101" s="11">
        <f t="shared" si="1"/>
        <v>940</v>
      </c>
      <c r="F101" s="11">
        <f t="shared" si="1"/>
        <v>940</v>
      </c>
      <c r="G101" s="11">
        <f t="shared" si="1"/>
        <v>1880</v>
      </c>
      <c r="H101" s="11">
        <f t="shared" si="1"/>
        <v>3759.9999999999991</v>
      </c>
      <c r="I101" s="11">
        <f t="shared" si="1"/>
        <v>1410</v>
      </c>
      <c r="J101" s="11">
        <f t="shared" si="1"/>
        <v>705</v>
      </c>
      <c r="K101" s="11">
        <f t="shared" si="1"/>
        <v>1410</v>
      </c>
      <c r="L101" s="11">
        <f t="shared" si="1"/>
        <v>2349.9999999999995</v>
      </c>
      <c r="M101" s="11">
        <f t="shared" si="1"/>
        <v>2819.9999999999995</v>
      </c>
      <c r="N101" s="11">
        <f t="shared" si="1"/>
        <v>5639.9999999999982</v>
      </c>
      <c r="O101" s="11">
        <f t="shared" si="1"/>
        <v>7519.9999999999973</v>
      </c>
      <c r="P101" s="11">
        <f>(SUM(P75:P90)*1000)/4</f>
        <v>4229.9999999999991</v>
      </c>
      <c r="Q101" s="11">
        <f t="shared" si="1"/>
        <v>3289.9999999999991</v>
      </c>
      <c r="R101" s="11">
        <f t="shared" si="1"/>
        <v>1410</v>
      </c>
      <c r="S101" s="11">
        <f t="shared" si="1"/>
        <v>1880</v>
      </c>
      <c r="T101" s="11">
        <f t="shared" si="1"/>
        <v>470</v>
      </c>
      <c r="U101" s="11">
        <f t="shared" si="1"/>
        <v>940</v>
      </c>
      <c r="V101" s="11">
        <f t="shared" si="1"/>
        <v>940</v>
      </c>
      <c r="W101" s="11">
        <f t="shared" si="1"/>
        <v>705</v>
      </c>
      <c r="X101" s="11">
        <f t="shared" si="1"/>
        <v>940</v>
      </c>
      <c r="Y101" s="11">
        <f t="shared" si="1"/>
        <v>0</v>
      </c>
      <c r="Z101" s="11">
        <f t="shared" si="1"/>
        <v>0</v>
      </c>
      <c r="AA101" s="11">
        <f t="shared" si="1"/>
        <v>0</v>
      </c>
      <c r="AB101" s="11">
        <f t="shared" si="1"/>
        <v>0</v>
      </c>
      <c r="AC101" s="11">
        <f t="shared" si="1"/>
        <v>0</v>
      </c>
      <c r="AD101" s="11">
        <f t="shared" si="1"/>
        <v>0</v>
      </c>
      <c r="AE101" s="11">
        <f t="shared" si="1"/>
        <v>0</v>
      </c>
      <c r="AF101" s="11">
        <f t="shared" si="1"/>
        <v>0</v>
      </c>
      <c r="AG101" s="11">
        <f>SUM(B101:AF101)</f>
        <v>47940</v>
      </c>
      <c r="AH101" s="11"/>
    </row>
    <row r="102" spans="1:34" x14ac:dyDescent="0.25">
      <c r="A102" s="10" t="s">
        <v>106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f>SUM(J102:AF102)</f>
        <v>0</v>
      </c>
      <c r="AH102" s="11"/>
    </row>
    <row r="103" spans="1:34" x14ac:dyDescent="0.25">
      <c r="A103" s="10" t="s">
        <v>2</v>
      </c>
      <c r="B103" s="11">
        <f t="shared" ref="B103:AF103" si="2">((SUM(B23:B26)+SUM(B43:B74))*1000)/4</f>
        <v>9870</v>
      </c>
      <c r="C103" s="11">
        <f t="shared" si="2"/>
        <v>9399.9999999999982</v>
      </c>
      <c r="D103" s="11">
        <f t="shared" si="2"/>
        <v>8929.9999999999982</v>
      </c>
      <c r="E103" s="11">
        <f t="shared" si="2"/>
        <v>9399.9999999999982</v>
      </c>
      <c r="F103" s="11">
        <f t="shared" si="2"/>
        <v>8929.9999999999982</v>
      </c>
      <c r="G103" s="11">
        <f t="shared" si="2"/>
        <v>9399.9999999999982</v>
      </c>
      <c r="H103" s="11">
        <f t="shared" si="2"/>
        <v>11750.000000000002</v>
      </c>
      <c r="I103" s="11">
        <f t="shared" si="2"/>
        <v>8929.9999999999982</v>
      </c>
      <c r="J103" s="11">
        <f t="shared" si="2"/>
        <v>4229.9999999999991</v>
      </c>
      <c r="K103" s="11">
        <f t="shared" si="2"/>
        <v>7989.9999999999964</v>
      </c>
      <c r="L103" s="11">
        <f t="shared" si="2"/>
        <v>8459.9999999999982</v>
      </c>
      <c r="M103" s="11">
        <f t="shared" si="2"/>
        <v>9399.9999999999982</v>
      </c>
      <c r="N103" s="11">
        <f t="shared" si="2"/>
        <v>9870</v>
      </c>
      <c r="O103" s="11">
        <f t="shared" si="2"/>
        <v>15040.000000000005</v>
      </c>
      <c r="P103" s="11">
        <f>((SUM(P23:P26)+SUM(P43:P74))*1000)/4</f>
        <v>9399.9999999999982</v>
      </c>
      <c r="Q103" s="11">
        <f t="shared" si="2"/>
        <v>9399.9999999999982</v>
      </c>
      <c r="R103" s="11">
        <f t="shared" si="2"/>
        <v>8929.9999999999982</v>
      </c>
      <c r="S103" s="11">
        <f t="shared" si="2"/>
        <v>8929.9999999999982</v>
      </c>
      <c r="T103" s="11">
        <f t="shared" si="2"/>
        <v>7989.9999999999964</v>
      </c>
      <c r="U103" s="11">
        <f t="shared" si="2"/>
        <v>8459.9999999999982</v>
      </c>
      <c r="V103" s="11">
        <f t="shared" si="2"/>
        <v>7195.0000000000018</v>
      </c>
      <c r="W103" s="11">
        <f t="shared" si="2"/>
        <v>5170</v>
      </c>
      <c r="X103" s="11">
        <f t="shared" si="2"/>
        <v>6110.0000000000009</v>
      </c>
      <c r="Y103" s="11">
        <f t="shared" si="2"/>
        <v>0</v>
      </c>
      <c r="Z103" s="11">
        <f t="shared" si="2"/>
        <v>0</v>
      </c>
      <c r="AA103" s="11">
        <f t="shared" si="2"/>
        <v>0</v>
      </c>
      <c r="AB103" s="11">
        <f t="shared" si="2"/>
        <v>0</v>
      </c>
      <c r="AC103" s="11">
        <f t="shared" si="2"/>
        <v>0</v>
      </c>
      <c r="AD103" s="11">
        <f t="shared" si="2"/>
        <v>0</v>
      </c>
      <c r="AE103" s="11">
        <f t="shared" si="2"/>
        <v>0</v>
      </c>
      <c r="AF103" s="11">
        <f t="shared" si="2"/>
        <v>0</v>
      </c>
      <c r="AG103" s="11">
        <f>SUM(B103:AF103)</f>
        <v>203185</v>
      </c>
      <c r="AH103" s="11"/>
    </row>
    <row r="104" spans="1:34" x14ac:dyDescent="0.25">
      <c r="A104" s="10" t="s">
        <v>107</v>
      </c>
      <c r="B104" s="11">
        <f t="shared" ref="B104:AF104" si="3">(SUM(B91:B98)*1000)/4</f>
        <v>0</v>
      </c>
      <c r="C104" s="11">
        <f t="shared" si="3"/>
        <v>0</v>
      </c>
      <c r="D104" s="11">
        <f t="shared" si="3"/>
        <v>0</v>
      </c>
      <c r="E104" s="11">
        <f t="shared" si="3"/>
        <v>0</v>
      </c>
      <c r="F104" s="11">
        <f t="shared" si="3"/>
        <v>0</v>
      </c>
      <c r="G104" s="11">
        <f t="shared" si="3"/>
        <v>0</v>
      </c>
      <c r="H104" s="11">
        <f t="shared" si="3"/>
        <v>0</v>
      </c>
      <c r="I104" s="11">
        <f t="shared" si="3"/>
        <v>0</v>
      </c>
      <c r="J104" s="11">
        <f t="shared" si="3"/>
        <v>0</v>
      </c>
      <c r="K104" s="11">
        <f t="shared" si="3"/>
        <v>0</v>
      </c>
      <c r="L104" s="11">
        <f t="shared" si="3"/>
        <v>0</v>
      </c>
      <c r="M104" s="11">
        <f t="shared" si="3"/>
        <v>0</v>
      </c>
      <c r="N104" s="11">
        <f t="shared" si="3"/>
        <v>0</v>
      </c>
      <c r="O104" s="11">
        <f t="shared" si="3"/>
        <v>0</v>
      </c>
      <c r="P104" s="11">
        <f>(SUM(P91:P98)*1000)/4</f>
        <v>0</v>
      </c>
      <c r="Q104" s="11">
        <f t="shared" si="3"/>
        <v>0</v>
      </c>
      <c r="R104" s="11">
        <f t="shared" si="3"/>
        <v>0</v>
      </c>
      <c r="S104" s="11">
        <f t="shared" si="3"/>
        <v>0</v>
      </c>
      <c r="T104" s="11">
        <f t="shared" si="3"/>
        <v>0</v>
      </c>
      <c r="U104" s="11">
        <f t="shared" si="3"/>
        <v>0</v>
      </c>
      <c r="V104" s="11">
        <f t="shared" si="3"/>
        <v>0</v>
      </c>
      <c r="W104" s="11">
        <f t="shared" si="3"/>
        <v>0</v>
      </c>
      <c r="X104" s="11">
        <f t="shared" si="3"/>
        <v>0</v>
      </c>
      <c r="Y104" s="11">
        <f t="shared" si="3"/>
        <v>0</v>
      </c>
      <c r="Z104" s="11">
        <f t="shared" si="3"/>
        <v>0</v>
      </c>
      <c r="AA104" s="11">
        <f t="shared" si="3"/>
        <v>0</v>
      </c>
      <c r="AB104" s="11">
        <f t="shared" si="3"/>
        <v>0</v>
      </c>
      <c r="AC104" s="11">
        <f t="shared" si="3"/>
        <v>0</v>
      </c>
      <c r="AD104" s="11">
        <f t="shared" si="3"/>
        <v>0</v>
      </c>
      <c r="AE104" s="11">
        <f t="shared" si="3"/>
        <v>0</v>
      </c>
      <c r="AF104" s="11">
        <f t="shared" si="3"/>
        <v>0</v>
      </c>
      <c r="AG104" s="11">
        <f>SUM(B104:AF104)</f>
        <v>0</v>
      </c>
      <c r="AH104" s="11"/>
    </row>
    <row r="105" spans="1:34" x14ac:dyDescent="0.25">
      <c r="A105" s="10" t="s">
        <v>108</v>
      </c>
      <c r="B105" s="11">
        <f t="shared" ref="B105:AF105" si="4">SUM(B3:B22)*1000/4</f>
        <v>0</v>
      </c>
      <c r="C105" s="11">
        <f t="shared" si="4"/>
        <v>0</v>
      </c>
      <c r="D105" s="11">
        <f t="shared" si="4"/>
        <v>0</v>
      </c>
      <c r="E105" s="11">
        <f t="shared" si="4"/>
        <v>0</v>
      </c>
      <c r="F105" s="11">
        <f t="shared" si="4"/>
        <v>0</v>
      </c>
      <c r="G105" s="11">
        <f t="shared" si="4"/>
        <v>0</v>
      </c>
      <c r="H105" s="11">
        <f t="shared" si="4"/>
        <v>0</v>
      </c>
      <c r="I105" s="11">
        <f t="shared" si="4"/>
        <v>0</v>
      </c>
      <c r="J105" s="11">
        <f t="shared" si="4"/>
        <v>0</v>
      </c>
      <c r="K105" s="11">
        <f t="shared" si="4"/>
        <v>0</v>
      </c>
      <c r="L105" s="11">
        <f t="shared" si="4"/>
        <v>0</v>
      </c>
      <c r="M105" s="11">
        <f t="shared" si="4"/>
        <v>0</v>
      </c>
      <c r="N105" s="11">
        <f t="shared" si="4"/>
        <v>0</v>
      </c>
      <c r="O105" s="11">
        <f t="shared" si="4"/>
        <v>0</v>
      </c>
      <c r="P105" s="11">
        <f>SUM(P3:P22)*1000/4</f>
        <v>0</v>
      </c>
      <c r="Q105" s="11">
        <f t="shared" si="4"/>
        <v>0</v>
      </c>
      <c r="R105" s="11">
        <f t="shared" si="4"/>
        <v>0</v>
      </c>
      <c r="S105" s="11">
        <f t="shared" si="4"/>
        <v>0</v>
      </c>
      <c r="T105" s="11">
        <f t="shared" si="4"/>
        <v>0</v>
      </c>
      <c r="U105" s="11">
        <f t="shared" si="4"/>
        <v>0</v>
      </c>
      <c r="V105" s="11">
        <f t="shared" si="4"/>
        <v>0</v>
      </c>
      <c r="W105" s="11">
        <f t="shared" si="4"/>
        <v>0</v>
      </c>
      <c r="X105" s="11">
        <f t="shared" si="4"/>
        <v>0</v>
      </c>
      <c r="Y105" s="11">
        <f t="shared" si="4"/>
        <v>0</v>
      </c>
      <c r="Z105" s="11">
        <f t="shared" si="4"/>
        <v>0</v>
      </c>
      <c r="AA105" s="11">
        <f t="shared" si="4"/>
        <v>0</v>
      </c>
      <c r="AB105" s="11">
        <f t="shared" si="4"/>
        <v>0</v>
      </c>
      <c r="AC105" s="11">
        <f t="shared" si="4"/>
        <v>0</v>
      </c>
      <c r="AD105" s="11">
        <f t="shared" si="4"/>
        <v>0</v>
      </c>
      <c r="AE105" s="11">
        <f t="shared" si="4"/>
        <v>0</v>
      </c>
      <c r="AF105" s="11">
        <f t="shared" si="4"/>
        <v>0</v>
      </c>
      <c r="AG105" s="11">
        <f>SUM(B105:AF105)</f>
        <v>0</v>
      </c>
      <c r="AH105" s="11"/>
    </row>
    <row r="106" spans="1:34" x14ac:dyDescent="0.25">
      <c r="A106" s="10" t="s">
        <v>109</v>
      </c>
      <c r="B106" s="11">
        <f>SUM(B100:B105)</f>
        <v>18329.999999999996</v>
      </c>
      <c r="C106" s="11">
        <f t="shared" ref="C106:AB106" si="5">SUM(C100:C105)</f>
        <v>18329.999999999993</v>
      </c>
      <c r="D106" s="11">
        <f t="shared" si="5"/>
        <v>17859.999999999993</v>
      </c>
      <c r="E106" s="11">
        <f t="shared" si="5"/>
        <v>17859.999999999993</v>
      </c>
      <c r="F106" s="11">
        <f>SUM(F100:F105)</f>
        <v>16919.999999999996</v>
      </c>
      <c r="G106" s="11">
        <f>SUM(G100:G105)</f>
        <v>18799.999999999993</v>
      </c>
      <c r="H106" s="11">
        <f>SUM(H100:H105)</f>
        <v>23030</v>
      </c>
      <c r="I106" s="11">
        <f t="shared" si="5"/>
        <v>17859.999999999993</v>
      </c>
      <c r="J106" s="11">
        <f t="shared" si="5"/>
        <v>8459.9999999999964</v>
      </c>
      <c r="K106" s="11">
        <f t="shared" si="5"/>
        <v>16919.999999999993</v>
      </c>
      <c r="L106" s="11">
        <f t="shared" si="5"/>
        <v>18329.999999999993</v>
      </c>
      <c r="M106" s="11">
        <f t="shared" si="5"/>
        <v>19739.999999999993</v>
      </c>
      <c r="N106" s="11">
        <f t="shared" si="5"/>
        <v>23029.999999999996</v>
      </c>
      <c r="O106" s="11">
        <f t="shared" si="5"/>
        <v>30080</v>
      </c>
      <c r="P106" s="11">
        <f>SUM(P100:P105)</f>
        <v>21149.999999999993</v>
      </c>
      <c r="Q106" s="11">
        <f t="shared" si="5"/>
        <v>20209.999999999993</v>
      </c>
      <c r="R106" s="11">
        <f t="shared" si="5"/>
        <v>17859.999999999993</v>
      </c>
      <c r="S106" s="11">
        <f t="shared" si="5"/>
        <v>16919.999999999996</v>
      </c>
      <c r="T106" s="11">
        <f>SUM(T100:T105)</f>
        <v>14099.999999999995</v>
      </c>
      <c r="U106" s="11">
        <f>SUM(U100:U105)</f>
        <v>15509.999999999996</v>
      </c>
      <c r="V106" s="11">
        <f t="shared" si="5"/>
        <v>11190</v>
      </c>
      <c r="W106" s="11">
        <f t="shared" si="5"/>
        <v>8695</v>
      </c>
      <c r="X106" s="11">
        <f t="shared" si="5"/>
        <v>10105</v>
      </c>
      <c r="Y106" s="11">
        <f t="shared" si="5"/>
        <v>0</v>
      </c>
      <c r="Z106" s="11">
        <f t="shared" si="5"/>
        <v>0</v>
      </c>
      <c r="AA106" s="11">
        <f t="shared" si="5"/>
        <v>0</v>
      </c>
      <c r="AB106" s="11">
        <f t="shared" si="5"/>
        <v>0</v>
      </c>
      <c r="AC106" s="11">
        <f>SUM(AC100:AC105)</f>
        <v>0</v>
      </c>
      <c r="AD106" s="11">
        <f>SUM(AD100:AD105)</f>
        <v>0</v>
      </c>
      <c r="AE106" s="11">
        <f>SUM(AE100:AE105)</f>
        <v>0</v>
      </c>
      <c r="AF106" s="11">
        <f>SUM(AF100:AF105)</f>
        <v>0</v>
      </c>
      <c r="AG106" s="11">
        <f>SUM(B106:AF106)</f>
        <v>401290</v>
      </c>
      <c r="AH106" s="11"/>
    </row>
  </sheetData>
  <pageMargins left="0.7" right="0.7" top="0.75" bottom="0.75" header="0.3" footer="0.3"/>
  <ignoredErrors>
    <ignoredError sqref="B100:B106 C100:E10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A8CE-FC41-419A-990F-267E985FD37A}">
  <dimension ref="A1:AH108"/>
  <sheetViews>
    <sheetView topLeftCell="C87" workbookViewId="0">
      <selection activeCell="W3" sqref="W3:X98"/>
    </sheetView>
  </sheetViews>
  <sheetFormatPr defaultRowHeight="12.75" x14ac:dyDescent="0.25"/>
  <cols>
    <col min="1" max="1" width="15.42578125" customWidth="1"/>
  </cols>
  <sheetData>
    <row r="1" spans="1:32" ht="15" x14ac:dyDescent="0.25">
      <c r="A1" s="3" t="s">
        <v>8</v>
      </c>
      <c r="Z1" s="12"/>
      <c r="AA1" s="12"/>
    </row>
    <row r="2" spans="1:32" ht="15" x14ac:dyDescent="0.25">
      <c r="A2" s="4" t="s">
        <v>9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13">
        <v>25</v>
      </c>
      <c r="AA2" s="13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</row>
    <row r="3" spans="1:32" ht="15" x14ac:dyDescent="0.25">
      <c r="A3" s="6" t="s">
        <v>10</v>
      </c>
      <c r="B3" s="40"/>
      <c r="C3" s="40"/>
      <c r="D3" s="40"/>
      <c r="E3" s="40"/>
      <c r="F3" s="40"/>
      <c r="G3" s="40"/>
      <c r="H3" s="40"/>
      <c r="I3" s="14"/>
      <c r="J3" s="14"/>
      <c r="K3" s="40"/>
      <c r="L3" s="14"/>
      <c r="M3" s="14"/>
      <c r="N3" s="14"/>
      <c r="O3" s="14"/>
      <c r="P3" s="14"/>
      <c r="Q3" s="14"/>
      <c r="R3" s="40"/>
      <c r="S3" s="14"/>
      <c r="T3" s="14"/>
      <c r="U3" s="14"/>
      <c r="V3" s="40">
        <v>0</v>
      </c>
      <c r="W3" s="40">
        <v>0</v>
      </c>
      <c r="X3" s="40">
        <v>0</v>
      </c>
      <c r="Y3" s="14"/>
      <c r="Z3" s="14"/>
      <c r="AA3" s="14"/>
      <c r="AB3" s="14"/>
      <c r="AC3" s="14"/>
      <c r="AD3" s="40"/>
      <c r="AE3" s="14"/>
      <c r="AF3" s="15"/>
    </row>
    <row r="4" spans="1:32" ht="15" x14ac:dyDescent="0.25">
      <c r="A4" s="6" t="s">
        <v>11</v>
      </c>
      <c r="B4" s="40"/>
      <c r="C4" s="40"/>
      <c r="D4" s="40"/>
      <c r="E4" s="40"/>
      <c r="F4" s="40"/>
      <c r="G4" s="40"/>
      <c r="H4" s="40"/>
      <c r="I4" s="14"/>
      <c r="J4" s="14"/>
      <c r="K4" s="40"/>
      <c r="L4" s="14"/>
      <c r="M4" s="14"/>
      <c r="N4" s="14"/>
      <c r="O4" s="14"/>
      <c r="P4" s="14"/>
      <c r="Q4" s="14"/>
      <c r="R4" s="40"/>
      <c r="S4" s="14"/>
      <c r="T4" s="14"/>
      <c r="U4" s="14"/>
      <c r="V4" s="40">
        <v>0</v>
      </c>
      <c r="W4" s="40">
        <v>0</v>
      </c>
      <c r="X4" s="40">
        <v>0</v>
      </c>
      <c r="Y4" s="14"/>
      <c r="Z4" s="14"/>
      <c r="AA4" s="14"/>
      <c r="AB4" s="14"/>
      <c r="AC4" s="14"/>
      <c r="AD4" s="40"/>
      <c r="AE4" s="14"/>
      <c r="AF4" s="15"/>
    </row>
    <row r="5" spans="1:32" ht="15" x14ac:dyDescent="0.25">
      <c r="A5" s="6" t="s">
        <v>12</v>
      </c>
      <c r="B5" s="40"/>
      <c r="C5" s="40"/>
      <c r="D5" s="40"/>
      <c r="E5" s="40"/>
      <c r="F5" s="40"/>
      <c r="G5" s="40"/>
      <c r="H5" s="40"/>
      <c r="I5" s="14"/>
      <c r="J5" s="14"/>
      <c r="K5" s="40"/>
      <c r="L5" s="14"/>
      <c r="M5" s="14"/>
      <c r="N5" s="14"/>
      <c r="O5" s="14"/>
      <c r="P5" s="14"/>
      <c r="Q5" s="14"/>
      <c r="R5" s="40"/>
      <c r="S5" s="14"/>
      <c r="T5" s="14"/>
      <c r="U5" s="14"/>
      <c r="V5" s="40">
        <v>0</v>
      </c>
      <c r="W5" s="40">
        <v>0</v>
      </c>
      <c r="X5" s="40">
        <v>0</v>
      </c>
      <c r="Y5" s="14"/>
      <c r="Z5" s="14"/>
      <c r="AA5" s="14"/>
      <c r="AB5" s="14"/>
      <c r="AC5" s="14"/>
      <c r="AD5" s="40"/>
      <c r="AE5" s="14"/>
      <c r="AF5" s="15"/>
    </row>
    <row r="6" spans="1:32" ht="15" x14ac:dyDescent="0.25">
      <c r="A6" s="6" t="s">
        <v>13</v>
      </c>
      <c r="B6" s="40"/>
      <c r="C6" s="40"/>
      <c r="D6" s="40"/>
      <c r="E6" s="40"/>
      <c r="F6" s="40"/>
      <c r="G6" s="40"/>
      <c r="H6" s="40"/>
      <c r="I6" s="14"/>
      <c r="J6" s="14"/>
      <c r="K6" s="40"/>
      <c r="L6" s="14"/>
      <c r="M6" s="14"/>
      <c r="N6" s="14"/>
      <c r="O6" s="14"/>
      <c r="P6" s="14"/>
      <c r="Q6" s="14"/>
      <c r="R6" s="40"/>
      <c r="S6" s="14"/>
      <c r="T6" s="14"/>
      <c r="U6" s="14"/>
      <c r="V6" s="40">
        <v>0</v>
      </c>
      <c r="W6" s="40">
        <v>0</v>
      </c>
      <c r="X6" s="40">
        <v>0</v>
      </c>
      <c r="Y6" s="14"/>
      <c r="Z6" s="14"/>
      <c r="AA6" s="14"/>
      <c r="AB6" s="14"/>
      <c r="AC6" s="14"/>
      <c r="AD6" s="40"/>
      <c r="AE6" s="14"/>
      <c r="AF6" s="15"/>
    </row>
    <row r="7" spans="1:32" ht="15" x14ac:dyDescent="0.25">
      <c r="A7" s="6" t="s">
        <v>14</v>
      </c>
      <c r="B7" s="40"/>
      <c r="C7" s="40"/>
      <c r="D7" s="40"/>
      <c r="E7" s="40"/>
      <c r="F7" s="40"/>
      <c r="G7" s="40"/>
      <c r="H7" s="40"/>
      <c r="I7" s="14"/>
      <c r="J7" s="14"/>
      <c r="K7" s="40"/>
      <c r="L7" s="14"/>
      <c r="M7" s="14"/>
      <c r="N7" s="14"/>
      <c r="O7" s="14"/>
      <c r="P7" s="14"/>
      <c r="Q7" s="14"/>
      <c r="R7" s="40"/>
      <c r="S7" s="14"/>
      <c r="T7" s="14"/>
      <c r="U7" s="14"/>
      <c r="V7" s="40">
        <v>0</v>
      </c>
      <c r="W7" s="40">
        <v>0</v>
      </c>
      <c r="X7" s="40">
        <v>0</v>
      </c>
      <c r="Y7" s="14"/>
      <c r="Z7" s="14"/>
      <c r="AA7" s="14"/>
      <c r="AB7" s="14"/>
      <c r="AC7" s="14"/>
      <c r="AD7" s="40"/>
      <c r="AE7" s="14"/>
      <c r="AF7" s="15"/>
    </row>
    <row r="8" spans="1:32" ht="15" x14ac:dyDescent="0.25">
      <c r="A8" s="6" t="s">
        <v>15</v>
      </c>
      <c r="B8" s="40"/>
      <c r="C8" s="40"/>
      <c r="D8" s="40"/>
      <c r="E8" s="40"/>
      <c r="F8" s="40"/>
      <c r="G8" s="40"/>
      <c r="H8" s="40"/>
      <c r="I8" s="14"/>
      <c r="J8" s="14"/>
      <c r="K8" s="40"/>
      <c r="L8" s="14"/>
      <c r="M8" s="14"/>
      <c r="N8" s="14"/>
      <c r="O8" s="14"/>
      <c r="P8" s="14"/>
      <c r="Q8" s="14"/>
      <c r="R8" s="40"/>
      <c r="S8" s="14"/>
      <c r="T8" s="14"/>
      <c r="U8" s="14"/>
      <c r="V8" s="40">
        <v>0</v>
      </c>
      <c r="W8" s="40">
        <v>0</v>
      </c>
      <c r="X8" s="40">
        <v>0</v>
      </c>
      <c r="Y8" s="14"/>
      <c r="Z8" s="14"/>
      <c r="AA8" s="14"/>
      <c r="AB8" s="14"/>
      <c r="AC8" s="14"/>
      <c r="AD8" s="40"/>
      <c r="AE8" s="14"/>
      <c r="AF8" s="15"/>
    </row>
    <row r="9" spans="1:32" ht="15" x14ac:dyDescent="0.25">
      <c r="A9" s="6" t="s">
        <v>16</v>
      </c>
      <c r="B9" s="40"/>
      <c r="C9" s="40"/>
      <c r="D9" s="40"/>
      <c r="E9" s="40"/>
      <c r="F9" s="40"/>
      <c r="G9" s="40"/>
      <c r="H9" s="40"/>
      <c r="I9" s="14"/>
      <c r="J9" s="14"/>
      <c r="K9" s="40"/>
      <c r="L9" s="14"/>
      <c r="M9" s="14"/>
      <c r="N9" s="14"/>
      <c r="O9" s="14"/>
      <c r="P9" s="14"/>
      <c r="Q9" s="14"/>
      <c r="R9" s="40"/>
      <c r="S9" s="14"/>
      <c r="T9" s="14"/>
      <c r="U9" s="14"/>
      <c r="V9" s="40">
        <v>0</v>
      </c>
      <c r="W9" s="40">
        <v>0</v>
      </c>
      <c r="X9" s="40">
        <v>0</v>
      </c>
      <c r="Y9" s="14"/>
      <c r="Z9" s="14"/>
      <c r="AA9" s="14"/>
      <c r="AB9" s="14"/>
      <c r="AC9" s="14"/>
      <c r="AD9" s="40"/>
      <c r="AE9" s="14"/>
      <c r="AF9" s="15"/>
    </row>
    <row r="10" spans="1:32" ht="15" x14ac:dyDescent="0.25">
      <c r="A10" s="6" t="s">
        <v>17</v>
      </c>
      <c r="B10" s="40"/>
      <c r="C10" s="40"/>
      <c r="D10" s="40"/>
      <c r="E10" s="40"/>
      <c r="F10" s="40"/>
      <c r="G10" s="40"/>
      <c r="H10" s="40"/>
      <c r="I10" s="14"/>
      <c r="J10" s="14"/>
      <c r="K10" s="40"/>
      <c r="L10" s="14"/>
      <c r="M10" s="14"/>
      <c r="N10" s="14"/>
      <c r="O10" s="14"/>
      <c r="P10" s="14"/>
      <c r="Q10" s="14"/>
      <c r="R10" s="40"/>
      <c r="S10" s="14"/>
      <c r="T10" s="14"/>
      <c r="U10" s="14"/>
      <c r="V10" s="40">
        <v>0</v>
      </c>
      <c r="W10" s="40">
        <v>0</v>
      </c>
      <c r="X10" s="40">
        <v>0</v>
      </c>
      <c r="Y10" s="14"/>
      <c r="Z10" s="14"/>
      <c r="AA10" s="14"/>
      <c r="AB10" s="14"/>
      <c r="AC10" s="14"/>
      <c r="AD10" s="40"/>
      <c r="AE10" s="14"/>
      <c r="AF10" s="15"/>
    </row>
    <row r="11" spans="1:32" ht="15" x14ac:dyDescent="0.25">
      <c r="A11" s="6" t="s">
        <v>18</v>
      </c>
      <c r="B11" s="40"/>
      <c r="C11" s="40"/>
      <c r="D11" s="40"/>
      <c r="E11" s="40"/>
      <c r="F11" s="40"/>
      <c r="G11" s="40"/>
      <c r="H11" s="40"/>
      <c r="I11" s="14"/>
      <c r="J11" s="14"/>
      <c r="K11" s="40"/>
      <c r="L11" s="14"/>
      <c r="M11" s="14"/>
      <c r="N11" s="14"/>
      <c r="O11" s="14"/>
      <c r="P11" s="14"/>
      <c r="Q11" s="14"/>
      <c r="R11" s="40"/>
      <c r="S11" s="14"/>
      <c r="T11" s="14"/>
      <c r="U11" s="14"/>
      <c r="V11" s="40">
        <v>0</v>
      </c>
      <c r="W11" s="40">
        <v>0</v>
      </c>
      <c r="X11" s="40">
        <v>0</v>
      </c>
      <c r="Y11" s="14"/>
      <c r="Z11" s="14"/>
      <c r="AA11" s="14"/>
      <c r="AB11" s="14"/>
      <c r="AC11" s="14"/>
      <c r="AD11" s="40"/>
      <c r="AE11" s="14"/>
      <c r="AF11" s="15"/>
    </row>
    <row r="12" spans="1:32" ht="15" x14ac:dyDescent="0.25">
      <c r="A12" s="6" t="s">
        <v>19</v>
      </c>
      <c r="B12" s="40"/>
      <c r="C12" s="40"/>
      <c r="D12" s="40"/>
      <c r="E12" s="40"/>
      <c r="F12" s="40"/>
      <c r="G12" s="40"/>
      <c r="H12" s="40"/>
      <c r="I12" s="14"/>
      <c r="J12" s="14"/>
      <c r="K12" s="40"/>
      <c r="L12" s="14"/>
      <c r="M12" s="14"/>
      <c r="N12" s="14"/>
      <c r="O12" s="14"/>
      <c r="P12" s="14"/>
      <c r="Q12" s="14"/>
      <c r="R12" s="40"/>
      <c r="S12" s="14"/>
      <c r="T12" s="14"/>
      <c r="U12" s="14"/>
      <c r="V12" s="40">
        <v>0</v>
      </c>
      <c r="W12" s="40">
        <v>0</v>
      </c>
      <c r="X12" s="40">
        <v>0</v>
      </c>
      <c r="Y12" s="14"/>
      <c r="Z12" s="14"/>
      <c r="AA12" s="14"/>
      <c r="AB12" s="14"/>
      <c r="AC12" s="14"/>
      <c r="AD12" s="40"/>
      <c r="AE12" s="14"/>
      <c r="AF12" s="15"/>
    </row>
    <row r="13" spans="1:32" ht="15" x14ac:dyDescent="0.25">
      <c r="A13" s="6" t="s">
        <v>20</v>
      </c>
      <c r="B13" s="40"/>
      <c r="C13" s="40"/>
      <c r="D13" s="40"/>
      <c r="E13" s="40"/>
      <c r="F13" s="40"/>
      <c r="G13" s="40"/>
      <c r="H13" s="40"/>
      <c r="I13" s="14"/>
      <c r="J13" s="14"/>
      <c r="K13" s="40"/>
      <c r="L13" s="14"/>
      <c r="M13" s="14"/>
      <c r="N13" s="14"/>
      <c r="O13" s="14"/>
      <c r="P13" s="14"/>
      <c r="Q13" s="14"/>
      <c r="R13" s="40"/>
      <c r="S13" s="14"/>
      <c r="T13" s="14"/>
      <c r="U13" s="14"/>
      <c r="V13" s="40">
        <v>0</v>
      </c>
      <c r="W13" s="40">
        <v>0</v>
      </c>
      <c r="X13" s="40">
        <v>0</v>
      </c>
      <c r="Y13" s="14"/>
      <c r="Z13" s="14"/>
      <c r="AA13" s="14"/>
      <c r="AB13" s="14"/>
      <c r="AC13" s="14"/>
      <c r="AD13" s="40"/>
      <c r="AE13" s="14"/>
      <c r="AF13" s="15"/>
    </row>
    <row r="14" spans="1:32" ht="15" x14ac:dyDescent="0.25">
      <c r="A14" s="6" t="s">
        <v>21</v>
      </c>
      <c r="B14" s="40"/>
      <c r="C14" s="40"/>
      <c r="D14" s="40"/>
      <c r="E14" s="40"/>
      <c r="F14" s="40"/>
      <c r="G14" s="40"/>
      <c r="H14" s="40"/>
      <c r="I14" s="14"/>
      <c r="J14" s="14"/>
      <c r="K14" s="40"/>
      <c r="L14" s="14"/>
      <c r="M14" s="14"/>
      <c r="N14" s="14"/>
      <c r="O14" s="14"/>
      <c r="P14" s="14"/>
      <c r="Q14" s="14"/>
      <c r="R14" s="40"/>
      <c r="S14" s="14"/>
      <c r="T14" s="14"/>
      <c r="U14" s="14"/>
      <c r="V14" s="40">
        <v>0</v>
      </c>
      <c r="W14" s="40">
        <v>0</v>
      </c>
      <c r="X14" s="40">
        <v>0</v>
      </c>
      <c r="Y14" s="14"/>
      <c r="Z14" s="14"/>
      <c r="AA14" s="14"/>
      <c r="AB14" s="14"/>
      <c r="AC14" s="14"/>
      <c r="AD14" s="40"/>
      <c r="AE14" s="14"/>
      <c r="AF14" s="15"/>
    </row>
    <row r="15" spans="1:32" ht="15" x14ac:dyDescent="0.25">
      <c r="A15" s="6" t="s">
        <v>22</v>
      </c>
      <c r="B15" s="40"/>
      <c r="C15" s="40"/>
      <c r="D15" s="40"/>
      <c r="E15" s="40"/>
      <c r="F15" s="40"/>
      <c r="G15" s="40"/>
      <c r="H15" s="40"/>
      <c r="I15" s="14"/>
      <c r="J15" s="14"/>
      <c r="K15" s="40"/>
      <c r="L15" s="14"/>
      <c r="M15" s="14"/>
      <c r="N15" s="14"/>
      <c r="O15" s="14"/>
      <c r="P15" s="14"/>
      <c r="Q15" s="14"/>
      <c r="R15" s="40"/>
      <c r="S15" s="14"/>
      <c r="T15" s="14"/>
      <c r="U15" s="14"/>
      <c r="V15" s="40">
        <v>0</v>
      </c>
      <c r="W15" s="40">
        <v>0</v>
      </c>
      <c r="X15" s="40">
        <v>0</v>
      </c>
      <c r="Y15" s="14"/>
      <c r="Z15" s="14"/>
      <c r="AA15" s="14"/>
      <c r="AB15" s="14"/>
      <c r="AC15" s="14"/>
      <c r="AD15" s="40"/>
      <c r="AE15" s="14"/>
      <c r="AF15" s="15"/>
    </row>
    <row r="16" spans="1:32" ht="15" x14ac:dyDescent="0.25">
      <c r="A16" s="6" t="s">
        <v>23</v>
      </c>
      <c r="B16" s="40"/>
      <c r="C16" s="40"/>
      <c r="D16" s="40"/>
      <c r="E16" s="40"/>
      <c r="F16" s="40"/>
      <c r="G16" s="40"/>
      <c r="H16" s="40"/>
      <c r="I16" s="14"/>
      <c r="J16" s="14"/>
      <c r="K16" s="40"/>
      <c r="L16" s="14"/>
      <c r="M16" s="14"/>
      <c r="N16" s="14"/>
      <c r="O16" s="14"/>
      <c r="P16" s="14"/>
      <c r="Q16" s="14"/>
      <c r="R16" s="40"/>
      <c r="S16" s="14"/>
      <c r="T16" s="14"/>
      <c r="U16" s="14"/>
      <c r="V16" s="40">
        <v>0</v>
      </c>
      <c r="W16" s="40">
        <v>0</v>
      </c>
      <c r="X16" s="40">
        <v>0</v>
      </c>
      <c r="Y16" s="14"/>
      <c r="Z16" s="14"/>
      <c r="AA16" s="14"/>
      <c r="AB16" s="14"/>
      <c r="AC16" s="14"/>
      <c r="AD16" s="40"/>
      <c r="AE16" s="14"/>
      <c r="AF16" s="15"/>
    </row>
    <row r="17" spans="1:32" ht="15" x14ac:dyDescent="0.25">
      <c r="A17" s="6" t="s">
        <v>24</v>
      </c>
      <c r="B17" s="40"/>
      <c r="C17" s="40"/>
      <c r="D17" s="40"/>
      <c r="E17" s="40"/>
      <c r="F17" s="40"/>
      <c r="G17" s="40"/>
      <c r="H17" s="40"/>
      <c r="I17" s="14"/>
      <c r="J17" s="14"/>
      <c r="K17" s="40"/>
      <c r="L17" s="14"/>
      <c r="M17" s="14"/>
      <c r="N17" s="14"/>
      <c r="O17" s="14"/>
      <c r="P17" s="14"/>
      <c r="Q17" s="14"/>
      <c r="R17" s="40"/>
      <c r="S17" s="14"/>
      <c r="T17" s="14"/>
      <c r="U17" s="14"/>
      <c r="V17" s="40">
        <v>0</v>
      </c>
      <c r="W17" s="40">
        <v>0</v>
      </c>
      <c r="X17" s="40">
        <v>0.64</v>
      </c>
      <c r="Y17" s="14"/>
      <c r="Z17" s="14"/>
      <c r="AA17" s="14"/>
      <c r="AB17" s="14"/>
      <c r="AC17" s="14"/>
      <c r="AD17" s="40"/>
      <c r="AE17" s="14"/>
      <c r="AF17" s="15"/>
    </row>
    <row r="18" spans="1:32" ht="15" x14ac:dyDescent="0.25">
      <c r="A18" s="6" t="s">
        <v>25</v>
      </c>
      <c r="B18" s="40"/>
      <c r="C18" s="40"/>
      <c r="D18" s="40"/>
      <c r="E18" s="40"/>
      <c r="F18" s="40"/>
      <c r="G18" s="40"/>
      <c r="H18" s="40"/>
      <c r="I18" s="14"/>
      <c r="J18" s="14"/>
      <c r="K18" s="40"/>
      <c r="L18" s="14"/>
      <c r="M18" s="14"/>
      <c r="N18" s="14"/>
      <c r="O18" s="14"/>
      <c r="P18" s="14"/>
      <c r="Q18" s="14"/>
      <c r="R18" s="40"/>
      <c r="S18" s="14"/>
      <c r="T18" s="14"/>
      <c r="U18" s="14"/>
      <c r="V18" s="40">
        <v>0</v>
      </c>
      <c r="W18" s="40">
        <v>0</v>
      </c>
      <c r="X18" s="40">
        <v>0.68</v>
      </c>
      <c r="Y18" s="14"/>
      <c r="Z18" s="14"/>
      <c r="AA18" s="14"/>
      <c r="AB18" s="14"/>
      <c r="AC18" s="14"/>
      <c r="AD18" s="40"/>
      <c r="AE18" s="14"/>
      <c r="AF18" s="15"/>
    </row>
    <row r="19" spans="1:32" ht="15" x14ac:dyDescent="0.25">
      <c r="A19" s="6" t="s">
        <v>26</v>
      </c>
      <c r="B19" s="40"/>
      <c r="C19" s="40"/>
      <c r="D19" s="40"/>
      <c r="E19" s="40"/>
      <c r="F19" s="40"/>
      <c r="G19" s="40"/>
      <c r="H19" s="40"/>
      <c r="I19" s="14"/>
      <c r="J19" s="14"/>
      <c r="K19" s="40"/>
      <c r="L19" s="14"/>
      <c r="M19" s="14"/>
      <c r="N19" s="14"/>
      <c r="O19" s="14"/>
      <c r="P19" s="14"/>
      <c r="Q19" s="14"/>
      <c r="R19" s="40"/>
      <c r="S19" s="14"/>
      <c r="T19" s="14"/>
      <c r="U19" s="14"/>
      <c r="V19" s="40">
        <v>0</v>
      </c>
      <c r="W19" s="40">
        <v>0</v>
      </c>
      <c r="X19" s="40">
        <v>0</v>
      </c>
      <c r="Y19" s="14"/>
      <c r="Z19" s="14"/>
      <c r="AA19" s="14"/>
      <c r="AB19" s="14"/>
      <c r="AC19" s="14"/>
      <c r="AD19" s="40"/>
      <c r="AE19" s="14"/>
      <c r="AF19" s="15"/>
    </row>
    <row r="20" spans="1:32" ht="15" x14ac:dyDescent="0.25">
      <c r="A20" s="6" t="s">
        <v>27</v>
      </c>
      <c r="B20" s="40"/>
      <c r="C20" s="40"/>
      <c r="D20" s="40"/>
      <c r="E20" s="40"/>
      <c r="F20" s="40"/>
      <c r="G20" s="40"/>
      <c r="H20" s="40"/>
      <c r="I20" s="14"/>
      <c r="J20" s="14"/>
      <c r="K20" s="40"/>
      <c r="L20" s="14"/>
      <c r="M20" s="14"/>
      <c r="N20" s="14"/>
      <c r="O20" s="14"/>
      <c r="P20" s="14"/>
      <c r="Q20" s="14"/>
      <c r="R20" s="40"/>
      <c r="S20" s="14"/>
      <c r="T20" s="14"/>
      <c r="U20" s="14"/>
      <c r="V20" s="40">
        <v>0</v>
      </c>
      <c r="W20" s="40">
        <v>0</v>
      </c>
      <c r="X20" s="40">
        <v>0</v>
      </c>
      <c r="Y20" s="14"/>
      <c r="Z20" s="14"/>
      <c r="AA20" s="14"/>
      <c r="AB20" s="14"/>
      <c r="AC20" s="14"/>
      <c r="AD20" s="40"/>
      <c r="AE20" s="14"/>
      <c r="AF20" s="15"/>
    </row>
    <row r="21" spans="1:32" ht="15" x14ac:dyDescent="0.25">
      <c r="A21" s="6" t="s">
        <v>28</v>
      </c>
      <c r="B21" s="40"/>
      <c r="C21" s="40"/>
      <c r="D21" s="40"/>
      <c r="E21" s="40"/>
      <c r="F21" s="40"/>
      <c r="G21" s="40"/>
      <c r="H21" s="40"/>
      <c r="I21" s="14"/>
      <c r="J21" s="14"/>
      <c r="K21" s="40"/>
      <c r="L21" s="14"/>
      <c r="M21" s="14"/>
      <c r="N21" s="14"/>
      <c r="O21" s="14"/>
      <c r="P21" s="14"/>
      <c r="Q21" s="14"/>
      <c r="R21" s="40"/>
      <c r="S21" s="14"/>
      <c r="T21" s="14"/>
      <c r="U21" s="14"/>
      <c r="V21" s="40">
        <v>0</v>
      </c>
      <c r="W21" s="40">
        <v>0</v>
      </c>
      <c r="X21" s="40">
        <v>0</v>
      </c>
      <c r="Y21" s="14"/>
      <c r="Z21" s="14"/>
      <c r="AA21" s="14"/>
      <c r="AB21" s="14"/>
      <c r="AC21" s="14"/>
      <c r="AD21" s="40"/>
      <c r="AE21" s="14"/>
      <c r="AF21" s="15"/>
    </row>
    <row r="22" spans="1:32" ht="15" x14ac:dyDescent="0.25">
      <c r="A22" s="6" t="s">
        <v>29</v>
      </c>
      <c r="B22" s="40"/>
      <c r="C22" s="40"/>
      <c r="D22" s="40"/>
      <c r="E22" s="40"/>
      <c r="F22" s="40"/>
      <c r="G22" s="40"/>
      <c r="H22" s="40"/>
      <c r="I22" s="14"/>
      <c r="J22" s="14"/>
      <c r="K22" s="40"/>
      <c r="L22" s="14"/>
      <c r="M22" s="14"/>
      <c r="N22" s="14"/>
      <c r="O22" s="14"/>
      <c r="P22" s="14"/>
      <c r="Q22" s="14"/>
      <c r="R22" s="40"/>
      <c r="S22" s="14"/>
      <c r="T22" s="14"/>
      <c r="U22" s="14"/>
      <c r="V22" s="40">
        <v>0</v>
      </c>
      <c r="W22" s="40">
        <v>0</v>
      </c>
      <c r="X22" s="40">
        <v>0</v>
      </c>
      <c r="Y22" s="14"/>
      <c r="Z22" s="14"/>
      <c r="AA22" s="14"/>
      <c r="AB22" s="14"/>
      <c r="AC22" s="14"/>
      <c r="AD22" s="40"/>
      <c r="AE22" s="14"/>
      <c r="AF22" s="15"/>
    </row>
    <row r="23" spans="1:32" ht="15" x14ac:dyDescent="0.25">
      <c r="A23" s="6" t="s">
        <v>30</v>
      </c>
      <c r="B23" s="40"/>
      <c r="C23" s="40"/>
      <c r="D23" s="40"/>
      <c r="E23" s="40"/>
      <c r="F23" s="40"/>
      <c r="G23" s="40"/>
      <c r="H23" s="40"/>
      <c r="I23" s="14"/>
      <c r="J23" s="14"/>
      <c r="K23" s="40"/>
      <c r="L23" s="14"/>
      <c r="M23" s="14"/>
      <c r="N23" s="14"/>
      <c r="O23" s="14"/>
      <c r="P23" s="14"/>
      <c r="Q23" s="14"/>
      <c r="R23" s="40"/>
      <c r="S23" s="14"/>
      <c r="T23" s="14"/>
      <c r="U23" s="14"/>
      <c r="V23" s="40">
        <v>0</v>
      </c>
      <c r="W23" s="40">
        <v>0</v>
      </c>
      <c r="X23" s="40">
        <v>0</v>
      </c>
      <c r="Y23" s="14"/>
      <c r="Z23" s="14"/>
      <c r="AA23" s="14"/>
      <c r="AB23" s="14"/>
      <c r="AC23" s="14"/>
      <c r="AD23" s="40"/>
      <c r="AE23" s="14"/>
      <c r="AF23" s="15"/>
    </row>
    <row r="24" spans="1:32" ht="15" x14ac:dyDescent="0.25">
      <c r="A24" s="6" t="s">
        <v>31</v>
      </c>
      <c r="B24" s="40"/>
      <c r="C24" s="40"/>
      <c r="D24" s="40"/>
      <c r="E24" s="40"/>
      <c r="F24" s="40"/>
      <c r="G24" s="40"/>
      <c r="H24" s="40"/>
      <c r="I24" s="14"/>
      <c r="J24" s="14"/>
      <c r="K24" s="40"/>
      <c r="L24" s="14"/>
      <c r="M24" s="14"/>
      <c r="N24" s="14"/>
      <c r="O24" s="14"/>
      <c r="P24" s="14"/>
      <c r="Q24" s="14"/>
      <c r="R24" s="40"/>
      <c r="S24" s="14"/>
      <c r="T24" s="14"/>
      <c r="U24" s="14"/>
      <c r="V24" s="40">
        <v>0</v>
      </c>
      <c r="W24" s="40">
        <v>0</v>
      </c>
      <c r="X24" s="40">
        <v>0</v>
      </c>
      <c r="Y24" s="14"/>
      <c r="Z24" s="14"/>
      <c r="AA24" s="14"/>
      <c r="AB24" s="14"/>
      <c r="AC24" s="14"/>
      <c r="AD24" s="40"/>
      <c r="AE24" s="14"/>
      <c r="AF24" s="15"/>
    </row>
    <row r="25" spans="1:32" ht="15" x14ac:dyDescent="0.25">
      <c r="A25" s="6" t="s">
        <v>32</v>
      </c>
      <c r="B25" s="40"/>
      <c r="C25" s="40"/>
      <c r="D25" s="40"/>
      <c r="E25" s="40"/>
      <c r="F25" s="40"/>
      <c r="G25" s="40"/>
      <c r="H25" s="40"/>
      <c r="I25" s="14"/>
      <c r="J25" s="14"/>
      <c r="K25" s="40"/>
      <c r="L25" s="14"/>
      <c r="M25" s="14"/>
      <c r="N25" s="14"/>
      <c r="O25" s="14"/>
      <c r="P25" s="14"/>
      <c r="Q25" s="14"/>
      <c r="R25" s="40"/>
      <c r="S25" s="14"/>
      <c r="T25" s="14"/>
      <c r="U25" s="14"/>
      <c r="V25" s="40">
        <v>0</v>
      </c>
      <c r="W25" s="40">
        <v>0</v>
      </c>
      <c r="X25" s="40">
        <v>0</v>
      </c>
      <c r="Y25" s="14"/>
      <c r="Z25" s="14"/>
      <c r="AA25" s="14"/>
      <c r="AB25" s="14"/>
      <c r="AC25" s="14"/>
      <c r="AD25" s="40"/>
      <c r="AE25" s="14"/>
      <c r="AF25" s="15"/>
    </row>
    <row r="26" spans="1:32" ht="15" x14ac:dyDescent="0.25">
      <c r="A26" s="6" t="s">
        <v>33</v>
      </c>
      <c r="B26" s="40"/>
      <c r="C26" s="40"/>
      <c r="D26" s="40"/>
      <c r="E26" s="40"/>
      <c r="F26" s="40"/>
      <c r="G26" s="40"/>
      <c r="H26" s="40"/>
      <c r="I26" s="14"/>
      <c r="J26" s="14"/>
      <c r="K26" s="40"/>
      <c r="L26" s="14"/>
      <c r="M26" s="14"/>
      <c r="N26" s="14"/>
      <c r="O26" s="14"/>
      <c r="P26" s="14"/>
      <c r="Q26" s="14"/>
      <c r="R26" s="40"/>
      <c r="S26" s="14"/>
      <c r="T26" s="14"/>
      <c r="U26" s="14"/>
      <c r="V26" s="40">
        <v>0</v>
      </c>
      <c r="W26" s="40">
        <v>0</v>
      </c>
      <c r="X26" s="40">
        <v>0</v>
      </c>
      <c r="Y26" s="14"/>
      <c r="Z26" s="14"/>
      <c r="AA26" s="14"/>
      <c r="AB26" s="14"/>
      <c r="AC26" s="14"/>
      <c r="AD26" s="40"/>
      <c r="AE26" s="14"/>
      <c r="AF26" s="15"/>
    </row>
    <row r="27" spans="1:32" ht="15" x14ac:dyDescent="0.25">
      <c r="A27" s="6" t="s">
        <v>34</v>
      </c>
      <c r="B27" s="40"/>
      <c r="C27" s="40"/>
      <c r="D27" s="40"/>
      <c r="E27" s="40"/>
      <c r="F27" s="40"/>
      <c r="G27" s="40"/>
      <c r="H27" s="40"/>
      <c r="I27" s="14"/>
      <c r="J27" s="14"/>
      <c r="K27" s="40"/>
      <c r="L27" s="14"/>
      <c r="M27" s="14"/>
      <c r="N27" s="14"/>
      <c r="O27" s="14"/>
      <c r="P27" s="14"/>
      <c r="Q27" s="14"/>
      <c r="R27" s="40"/>
      <c r="S27" s="14"/>
      <c r="T27" s="14"/>
      <c r="U27" s="14"/>
      <c r="V27" s="40">
        <v>0</v>
      </c>
      <c r="W27" s="40">
        <v>0</v>
      </c>
      <c r="X27" s="40">
        <v>0.94</v>
      </c>
      <c r="Y27" s="14"/>
      <c r="Z27" s="14"/>
      <c r="AA27" s="14"/>
      <c r="AB27" s="14"/>
      <c r="AC27" s="14"/>
      <c r="AD27" s="40"/>
      <c r="AE27" s="14"/>
      <c r="AF27" s="15"/>
    </row>
    <row r="28" spans="1:32" ht="15" x14ac:dyDescent="0.25">
      <c r="A28" s="6" t="s">
        <v>35</v>
      </c>
      <c r="B28" s="40"/>
      <c r="C28" s="40"/>
      <c r="D28" s="40"/>
      <c r="E28" s="40"/>
      <c r="F28" s="40"/>
      <c r="G28" s="40"/>
      <c r="H28" s="40"/>
      <c r="I28" s="14"/>
      <c r="J28" s="14"/>
      <c r="K28" s="40"/>
      <c r="L28" s="14"/>
      <c r="M28" s="14"/>
      <c r="N28" s="14"/>
      <c r="O28" s="14"/>
      <c r="P28" s="14"/>
      <c r="Q28" s="14"/>
      <c r="R28" s="40"/>
      <c r="S28" s="14"/>
      <c r="T28" s="14"/>
      <c r="U28" s="14"/>
      <c r="V28" s="40">
        <v>0</v>
      </c>
      <c r="W28" s="40">
        <v>0</v>
      </c>
      <c r="X28" s="40">
        <v>0.94</v>
      </c>
      <c r="Y28" s="14"/>
      <c r="Z28" s="14"/>
      <c r="AA28" s="14"/>
      <c r="AB28" s="14"/>
      <c r="AC28" s="14"/>
      <c r="AD28" s="40"/>
      <c r="AE28" s="14"/>
      <c r="AF28" s="15"/>
    </row>
    <row r="29" spans="1:32" ht="15" x14ac:dyDescent="0.25">
      <c r="A29" s="6" t="s">
        <v>36</v>
      </c>
      <c r="B29" s="40"/>
      <c r="C29" s="40"/>
      <c r="D29" s="40"/>
      <c r="E29" s="40"/>
      <c r="F29" s="40"/>
      <c r="G29" s="40"/>
      <c r="H29" s="40"/>
      <c r="I29" s="14"/>
      <c r="J29" s="14"/>
      <c r="K29" s="40"/>
      <c r="L29" s="14"/>
      <c r="M29" s="14"/>
      <c r="N29" s="14"/>
      <c r="O29" s="14"/>
      <c r="P29" s="14"/>
      <c r="Q29" s="14"/>
      <c r="R29" s="40"/>
      <c r="S29" s="14"/>
      <c r="T29" s="14"/>
      <c r="U29" s="14"/>
      <c r="V29" s="40">
        <v>0</v>
      </c>
      <c r="W29" s="40">
        <v>0.94</v>
      </c>
      <c r="X29" s="40">
        <v>0.94</v>
      </c>
      <c r="Y29" s="14"/>
      <c r="Z29" s="14"/>
      <c r="AA29" s="14"/>
      <c r="AB29" s="14"/>
      <c r="AC29" s="14"/>
      <c r="AD29" s="40"/>
      <c r="AE29" s="14"/>
      <c r="AF29" s="15"/>
    </row>
    <row r="30" spans="1:32" ht="15" x14ac:dyDescent="0.25">
      <c r="A30" s="6" t="s">
        <v>37</v>
      </c>
      <c r="B30" s="40"/>
      <c r="C30" s="40"/>
      <c r="D30" s="40"/>
      <c r="E30" s="40"/>
      <c r="F30" s="40"/>
      <c r="G30" s="40"/>
      <c r="H30" s="40"/>
      <c r="I30" s="14"/>
      <c r="J30" s="14"/>
      <c r="K30" s="40"/>
      <c r="L30" s="14"/>
      <c r="M30" s="14"/>
      <c r="N30" s="14"/>
      <c r="O30" s="14"/>
      <c r="P30" s="14"/>
      <c r="Q30" s="14"/>
      <c r="R30" s="40"/>
      <c r="S30" s="14"/>
      <c r="T30" s="14"/>
      <c r="U30" s="14"/>
      <c r="V30" s="40">
        <v>0.94</v>
      </c>
      <c r="W30" s="40">
        <v>0.94</v>
      </c>
      <c r="X30" s="40">
        <v>0.94</v>
      </c>
      <c r="Y30" s="14"/>
      <c r="Z30" s="14"/>
      <c r="AA30" s="14"/>
      <c r="AB30" s="14"/>
      <c r="AC30" s="14"/>
      <c r="AD30" s="40"/>
      <c r="AE30" s="14"/>
      <c r="AF30" s="15"/>
    </row>
    <row r="31" spans="1:32" ht="15" x14ac:dyDescent="0.25">
      <c r="A31" s="6" t="s">
        <v>38</v>
      </c>
      <c r="B31" s="40"/>
      <c r="C31" s="40"/>
      <c r="D31" s="40"/>
      <c r="E31" s="40"/>
      <c r="F31" s="40"/>
      <c r="G31" s="40"/>
      <c r="H31" s="40"/>
      <c r="I31" s="14"/>
      <c r="J31" s="14"/>
      <c r="K31" s="40"/>
      <c r="L31" s="14"/>
      <c r="M31" s="14"/>
      <c r="N31" s="14"/>
      <c r="O31" s="14"/>
      <c r="P31" s="14"/>
      <c r="Q31" s="14"/>
      <c r="R31" s="40"/>
      <c r="S31" s="14"/>
      <c r="T31" s="14"/>
      <c r="U31" s="14"/>
      <c r="V31" s="40">
        <v>0.94</v>
      </c>
      <c r="W31" s="40">
        <v>0.94</v>
      </c>
      <c r="X31" s="40">
        <v>0.94</v>
      </c>
      <c r="Y31" s="14"/>
      <c r="Z31" s="14"/>
      <c r="AA31" s="14"/>
      <c r="AB31" s="14"/>
      <c r="AC31" s="14"/>
      <c r="AD31" s="40"/>
      <c r="AE31" s="14"/>
      <c r="AF31" s="15"/>
    </row>
    <row r="32" spans="1:32" ht="15" x14ac:dyDescent="0.25">
      <c r="A32" s="6" t="s">
        <v>39</v>
      </c>
      <c r="B32" s="40"/>
      <c r="C32" s="40"/>
      <c r="D32" s="40"/>
      <c r="E32" s="40"/>
      <c r="F32" s="40"/>
      <c r="G32" s="40"/>
      <c r="H32" s="40"/>
      <c r="I32" s="14"/>
      <c r="J32" s="14"/>
      <c r="K32" s="40"/>
      <c r="L32" s="14"/>
      <c r="M32" s="14"/>
      <c r="N32" s="14"/>
      <c r="O32" s="14"/>
      <c r="P32" s="14"/>
      <c r="Q32" s="14"/>
      <c r="R32" s="40"/>
      <c r="S32" s="14"/>
      <c r="T32" s="14"/>
      <c r="U32" s="14"/>
      <c r="V32" s="40">
        <v>0.94</v>
      </c>
      <c r="W32" s="40">
        <v>0.94</v>
      </c>
      <c r="X32" s="40">
        <v>0.94</v>
      </c>
      <c r="Y32" s="14"/>
      <c r="Z32" s="14"/>
      <c r="AA32" s="14"/>
      <c r="AB32" s="14"/>
      <c r="AC32" s="14"/>
      <c r="AD32" s="40"/>
      <c r="AE32" s="14"/>
      <c r="AF32" s="15"/>
    </row>
    <row r="33" spans="1:32" ht="15" x14ac:dyDescent="0.25">
      <c r="A33" s="6" t="s">
        <v>40</v>
      </c>
      <c r="B33" s="40"/>
      <c r="C33" s="40"/>
      <c r="D33" s="40"/>
      <c r="E33" s="40"/>
      <c r="F33" s="40"/>
      <c r="G33" s="40"/>
      <c r="H33" s="40"/>
      <c r="I33" s="14"/>
      <c r="J33" s="14"/>
      <c r="K33" s="40"/>
      <c r="L33" s="14"/>
      <c r="M33" s="14"/>
      <c r="N33" s="14"/>
      <c r="O33" s="14"/>
      <c r="P33" s="14"/>
      <c r="Q33" s="14"/>
      <c r="R33" s="40"/>
      <c r="S33" s="14"/>
      <c r="T33" s="14"/>
      <c r="U33" s="14"/>
      <c r="V33" s="40">
        <v>0.94</v>
      </c>
      <c r="W33" s="40">
        <v>0.94</v>
      </c>
      <c r="X33" s="40">
        <v>0.94</v>
      </c>
      <c r="Y33" s="14"/>
      <c r="Z33" s="14"/>
      <c r="AA33" s="14"/>
      <c r="AB33" s="14"/>
      <c r="AC33" s="14"/>
      <c r="AD33" s="40"/>
      <c r="AE33" s="14"/>
      <c r="AF33" s="15"/>
    </row>
    <row r="34" spans="1:32" ht="15" x14ac:dyDescent="0.25">
      <c r="A34" s="6" t="s">
        <v>41</v>
      </c>
      <c r="B34" s="40"/>
      <c r="C34" s="40"/>
      <c r="D34" s="40"/>
      <c r="E34" s="40"/>
      <c r="F34" s="40"/>
      <c r="G34" s="40"/>
      <c r="H34" s="40"/>
      <c r="I34" s="14"/>
      <c r="J34" s="14"/>
      <c r="K34" s="40"/>
      <c r="L34" s="14"/>
      <c r="M34" s="14"/>
      <c r="N34" s="14"/>
      <c r="O34" s="14"/>
      <c r="P34" s="14"/>
      <c r="Q34" s="14"/>
      <c r="R34" s="40"/>
      <c r="S34" s="14"/>
      <c r="T34" s="14"/>
      <c r="U34" s="14"/>
      <c r="V34" s="40">
        <v>0.94</v>
      </c>
      <c r="W34" s="40">
        <v>0.94</v>
      </c>
      <c r="X34" s="40">
        <v>0.94</v>
      </c>
      <c r="Y34" s="14"/>
      <c r="Z34" s="14"/>
      <c r="AA34" s="14"/>
      <c r="AB34" s="14"/>
      <c r="AC34" s="14"/>
      <c r="AD34" s="40"/>
      <c r="AE34" s="14"/>
      <c r="AF34" s="15"/>
    </row>
    <row r="35" spans="1:32" ht="15" x14ac:dyDescent="0.25">
      <c r="A35" s="6" t="s">
        <v>42</v>
      </c>
      <c r="B35" s="40"/>
      <c r="C35" s="40"/>
      <c r="D35" s="40"/>
      <c r="E35" s="40"/>
      <c r="F35" s="40"/>
      <c r="G35" s="40"/>
      <c r="H35" s="40"/>
      <c r="I35" s="14"/>
      <c r="J35" s="14"/>
      <c r="K35" s="40"/>
      <c r="L35" s="14"/>
      <c r="M35" s="14"/>
      <c r="N35" s="14"/>
      <c r="O35" s="14"/>
      <c r="P35" s="14"/>
      <c r="Q35" s="14"/>
      <c r="R35" s="40"/>
      <c r="S35" s="14"/>
      <c r="T35" s="14"/>
      <c r="U35" s="14"/>
      <c r="V35" s="40">
        <v>0.94</v>
      </c>
      <c r="W35" s="40">
        <v>0.94</v>
      </c>
      <c r="X35" s="40">
        <v>0.94</v>
      </c>
      <c r="Y35" s="14"/>
      <c r="Z35" s="14"/>
      <c r="AA35" s="14"/>
      <c r="AB35" s="14"/>
      <c r="AC35" s="14"/>
      <c r="AD35" s="40"/>
      <c r="AE35" s="14"/>
      <c r="AF35" s="15"/>
    </row>
    <row r="36" spans="1:32" ht="15" x14ac:dyDescent="0.25">
      <c r="A36" s="6" t="s">
        <v>43</v>
      </c>
      <c r="B36" s="40"/>
      <c r="C36" s="40"/>
      <c r="D36" s="40"/>
      <c r="E36" s="40"/>
      <c r="F36" s="40"/>
      <c r="G36" s="40"/>
      <c r="H36" s="40"/>
      <c r="I36" s="14"/>
      <c r="J36" s="14"/>
      <c r="K36" s="40"/>
      <c r="L36" s="14"/>
      <c r="M36" s="14"/>
      <c r="N36" s="14"/>
      <c r="O36" s="14"/>
      <c r="P36" s="14"/>
      <c r="Q36" s="14"/>
      <c r="R36" s="40"/>
      <c r="S36" s="14"/>
      <c r="T36" s="14"/>
      <c r="U36" s="14"/>
      <c r="V36" s="40">
        <v>0.94</v>
      </c>
      <c r="W36" s="40">
        <v>0.94</v>
      </c>
      <c r="X36" s="40">
        <v>0.94</v>
      </c>
      <c r="Y36" s="14"/>
      <c r="Z36" s="14"/>
      <c r="AA36" s="14"/>
      <c r="AB36" s="14"/>
      <c r="AC36" s="14"/>
      <c r="AD36" s="40"/>
      <c r="AE36" s="14"/>
      <c r="AF36" s="15"/>
    </row>
    <row r="37" spans="1:32" ht="15" x14ac:dyDescent="0.25">
      <c r="A37" s="6" t="s">
        <v>44</v>
      </c>
      <c r="B37" s="40"/>
      <c r="C37" s="40"/>
      <c r="D37" s="40"/>
      <c r="E37" s="40"/>
      <c r="F37" s="40"/>
      <c r="G37" s="40"/>
      <c r="H37" s="40"/>
      <c r="I37" s="14"/>
      <c r="J37" s="14"/>
      <c r="K37" s="40"/>
      <c r="L37" s="14"/>
      <c r="M37" s="14"/>
      <c r="N37" s="14"/>
      <c r="O37" s="14"/>
      <c r="P37" s="14"/>
      <c r="Q37" s="14"/>
      <c r="R37" s="40"/>
      <c r="S37" s="14"/>
      <c r="T37" s="14"/>
      <c r="U37" s="14"/>
      <c r="V37" s="40">
        <v>0.94</v>
      </c>
      <c r="W37" s="40">
        <v>0.94</v>
      </c>
      <c r="X37" s="40">
        <v>0.94</v>
      </c>
      <c r="Y37" s="14"/>
      <c r="Z37" s="14"/>
      <c r="AA37" s="14"/>
      <c r="AB37" s="14"/>
      <c r="AC37" s="14"/>
      <c r="AD37" s="40"/>
      <c r="AE37" s="14"/>
      <c r="AF37" s="15"/>
    </row>
    <row r="38" spans="1:32" ht="15" x14ac:dyDescent="0.25">
      <c r="A38" s="6" t="s">
        <v>45</v>
      </c>
      <c r="B38" s="40"/>
      <c r="C38" s="40"/>
      <c r="D38" s="40"/>
      <c r="E38" s="40"/>
      <c r="F38" s="40"/>
      <c r="G38" s="40"/>
      <c r="H38" s="40"/>
      <c r="I38" s="14"/>
      <c r="J38" s="14"/>
      <c r="K38" s="40"/>
      <c r="L38" s="14"/>
      <c r="M38" s="14"/>
      <c r="N38" s="14"/>
      <c r="O38" s="14"/>
      <c r="P38" s="14"/>
      <c r="Q38" s="14"/>
      <c r="R38" s="40"/>
      <c r="S38" s="14"/>
      <c r="T38" s="14"/>
      <c r="U38" s="14"/>
      <c r="V38" s="40">
        <v>0.94</v>
      </c>
      <c r="W38" s="40">
        <v>0.94</v>
      </c>
      <c r="X38" s="40">
        <v>0.94</v>
      </c>
      <c r="Y38" s="14"/>
      <c r="Z38" s="14"/>
      <c r="AA38" s="14"/>
      <c r="AB38" s="14"/>
      <c r="AC38" s="14"/>
      <c r="AD38" s="40"/>
      <c r="AE38" s="14"/>
      <c r="AF38" s="15"/>
    </row>
    <row r="39" spans="1:32" ht="15" x14ac:dyDescent="0.25">
      <c r="A39" s="6" t="s">
        <v>46</v>
      </c>
      <c r="B39" s="40"/>
      <c r="C39" s="40"/>
      <c r="D39" s="40"/>
      <c r="E39" s="40"/>
      <c r="F39" s="40"/>
      <c r="G39" s="40"/>
      <c r="H39" s="40"/>
      <c r="I39" s="14"/>
      <c r="J39" s="14"/>
      <c r="K39" s="40"/>
      <c r="L39" s="14"/>
      <c r="M39" s="14"/>
      <c r="N39" s="14"/>
      <c r="O39" s="14"/>
      <c r="P39" s="14"/>
      <c r="Q39" s="14"/>
      <c r="R39" s="40"/>
      <c r="S39" s="14"/>
      <c r="T39" s="14"/>
      <c r="U39" s="14"/>
      <c r="V39" s="40">
        <v>0.94</v>
      </c>
      <c r="W39" s="40">
        <v>0.94</v>
      </c>
      <c r="X39" s="40">
        <v>0.94</v>
      </c>
      <c r="Y39" s="14"/>
      <c r="Z39" s="14"/>
      <c r="AA39" s="14"/>
      <c r="AB39" s="14"/>
      <c r="AC39" s="14"/>
      <c r="AD39" s="40"/>
      <c r="AE39" s="14"/>
      <c r="AF39" s="15"/>
    </row>
    <row r="40" spans="1:32" ht="15" x14ac:dyDescent="0.25">
      <c r="A40" s="6" t="s">
        <v>47</v>
      </c>
      <c r="B40" s="40"/>
      <c r="C40" s="40"/>
      <c r="D40" s="40"/>
      <c r="E40" s="40"/>
      <c r="F40" s="40"/>
      <c r="G40" s="40"/>
      <c r="H40" s="40"/>
      <c r="I40" s="14"/>
      <c r="J40" s="14"/>
      <c r="K40" s="40"/>
      <c r="L40" s="14"/>
      <c r="M40" s="14"/>
      <c r="N40" s="14"/>
      <c r="O40" s="14"/>
      <c r="P40" s="14"/>
      <c r="Q40" s="14"/>
      <c r="R40" s="40"/>
      <c r="S40" s="14"/>
      <c r="T40" s="14"/>
      <c r="U40" s="14"/>
      <c r="V40" s="40">
        <v>0.94</v>
      </c>
      <c r="W40" s="40">
        <v>0.94</v>
      </c>
      <c r="X40" s="40">
        <v>0.94</v>
      </c>
      <c r="Y40" s="14"/>
      <c r="Z40" s="14"/>
      <c r="AA40" s="14"/>
      <c r="AB40" s="14"/>
      <c r="AC40" s="14"/>
      <c r="AD40" s="40"/>
      <c r="AE40" s="14"/>
      <c r="AF40" s="15"/>
    </row>
    <row r="41" spans="1:32" ht="15" x14ac:dyDescent="0.25">
      <c r="A41" s="6" t="s">
        <v>48</v>
      </c>
      <c r="B41" s="40"/>
      <c r="C41" s="40"/>
      <c r="D41" s="40"/>
      <c r="E41" s="40"/>
      <c r="F41" s="40"/>
      <c r="G41" s="40"/>
      <c r="H41" s="40"/>
      <c r="I41" s="14"/>
      <c r="J41" s="14"/>
      <c r="K41" s="40"/>
      <c r="L41" s="14"/>
      <c r="M41" s="14"/>
      <c r="N41" s="14"/>
      <c r="O41" s="14"/>
      <c r="P41" s="14"/>
      <c r="Q41" s="14"/>
      <c r="R41" s="40"/>
      <c r="S41" s="14"/>
      <c r="T41" s="14"/>
      <c r="U41" s="14"/>
      <c r="V41" s="40">
        <v>0.94</v>
      </c>
      <c r="W41" s="40">
        <v>0.94</v>
      </c>
      <c r="X41" s="40">
        <v>0.94</v>
      </c>
      <c r="Y41" s="14"/>
      <c r="Z41" s="14"/>
      <c r="AA41" s="14"/>
      <c r="AB41" s="14"/>
      <c r="AC41" s="14"/>
      <c r="AD41" s="40"/>
      <c r="AE41" s="14"/>
      <c r="AF41" s="15"/>
    </row>
    <row r="42" spans="1:32" ht="15" x14ac:dyDescent="0.25">
      <c r="A42" s="6" t="s">
        <v>49</v>
      </c>
      <c r="B42" s="40"/>
      <c r="C42" s="40"/>
      <c r="D42" s="40"/>
      <c r="E42" s="40"/>
      <c r="F42" s="40"/>
      <c r="G42" s="40"/>
      <c r="H42" s="40"/>
      <c r="I42" s="14"/>
      <c r="J42" s="14"/>
      <c r="K42" s="40"/>
      <c r="L42" s="14"/>
      <c r="M42" s="14"/>
      <c r="N42" s="14"/>
      <c r="O42" s="14"/>
      <c r="P42" s="14"/>
      <c r="Q42" s="14"/>
      <c r="R42" s="40"/>
      <c r="S42" s="14"/>
      <c r="T42" s="14"/>
      <c r="U42" s="14"/>
      <c r="V42" s="40">
        <v>0.94</v>
      </c>
      <c r="W42" s="40">
        <v>0.94</v>
      </c>
      <c r="X42" s="40">
        <v>0.94</v>
      </c>
      <c r="Y42" s="14"/>
      <c r="Z42" s="14"/>
      <c r="AA42" s="14"/>
      <c r="AB42" s="14"/>
      <c r="AC42" s="14"/>
      <c r="AD42" s="40"/>
      <c r="AE42" s="14"/>
      <c r="AF42" s="15"/>
    </row>
    <row r="43" spans="1:32" ht="15" x14ac:dyDescent="0.25">
      <c r="A43" s="6" t="s">
        <v>50</v>
      </c>
      <c r="B43" s="40"/>
      <c r="C43" s="40"/>
      <c r="D43" s="40"/>
      <c r="E43" s="40"/>
      <c r="F43" s="40"/>
      <c r="G43" s="40"/>
      <c r="H43" s="40"/>
      <c r="I43" s="14"/>
      <c r="J43" s="14"/>
      <c r="K43" s="40"/>
      <c r="L43" s="14"/>
      <c r="M43" s="14"/>
      <c r="N43" s="14"/>
      <c r="O43" s="14"/>
      <c r="P43" s="14"/>
      <c r="Q43" s="14"/>
      <c r="R43" s="40"/>
      <c r="S43" s="14"/>
      <c r="T43" s="14"/>
      <c r="U43" s="14"/>
      <c r="V43" s="40">
        <v>0.94</v>
      </c>
      <c r="W43" s="40">
        <v>0.94</v>
      </c>
      <c r="X43" s="40">
        <v>0.94</v>
      </c>
      <c r="Y43" s="14"/>
      <c r="Z43" s="14"/>
      <c r="AA43" s="14"/>
      <c r="AB43" s="14"/>
      <c r="AC43" s="14"/>
      <c r="AD43" s="40"/>
      <c r="AE43" s="14"/>
      <c r="AF43" s="15"/>
    </row>
    <row r="44" spans="1:32" ht="15" x14ac:dyDescent="0.25">
      <c r="A44" s="6" t="s">
        <v>51</v>
      </c>
      <c r="B44" s="40"/>
      <c r="C44" s="40"/>
      <c r="D44" s="40"/>
      <c r="E44" s="40"/>
      <c r="F44" s="40"/>
      <c r="G44" s="40"/>
      <c r="H44" s="40"/>
      <c r="I44" s="14"/>
      <c r="J44" s="14"/>
      <c r="K44" s="40"/>
      <c r="L44" s="14"/>
      <c r="M44" s="14"/>
      <c r="N44" s="14"/>
      <c r="O44" s="14"/>
      <c r="P44" s="14"/>
      <c r="Q44" s="14"/>
      <c r="R44" s="40"/>
      <c r="S44" s="14"/>
      <c r="T44" s="14"/>
      <c r="U44" s="14"/>
      <c r="V44" s="40">
        <v>0.94</v>
      </c>
      <c r="W44" s="40">
        <v>0.94</v>
      </c>
      <c r="X44" s="40">
        <v>0.94</v>
      </c>
      <c r="Y44" s="14"/>
      <c r="Z44" s="14"/>
      <c r="AA44" s="14"/>
      <c r="AB44" s="14"/>
      <c r="AC44" s="14"/>
      <c r="AD44" s="40"/>
      <c r="AE44" s="14"/>
      <c r="AF44" s="15"/>
    </row>
    <row r="45" spans="1:32" ht="15" x14ac:dyDescent="0.25">
      <c r="A45" s="6" t="s">
        <v>52</v>
      </c>
      <c r="B45" s="40"/>
      <c r="C45" s="40"/>
      <c r="D45" s="40"/>
      <c r="E45" s="40"/>
      <c r="F45" s="40"/>
      <c r="G45" s="40"/>
      <c r="H45" s="40"/>
      <c r="I45" s="14"/>
      <c r="J45" s="14"/>
      <c r="K45" s="40"/>
      <c r="L45" s="14"/>
      <c r="M45" s="14"/>
      <c r="N45" s="14"/>
      <c r="O45" s="14"/>
      <c r="P45" s="14"/>
      <c r="Q45" s="14"/>
      <c r="R45" s="40"/>
      <c r="S45" s="14"/>
      <c r="T45" s="14"/>
      <c r="U45" s="14"/>
      <c r="V45" s="40">
        <v>0.94</v>
      </c>
      <c r="W45" s="40">
        <v>0.94</v>
      </c>
      <c r="X45" s="40">
        <v>0.94</v>
      </c>
      <c r="Y45" s="14"/>
      <c r="Z45" s="14"/>
      <c r="AA45" s="14"/>
      <c r="AB45" s="14"/>
      <c r="AC45" s="14"/>
      <c r="AD45" s="40"/>
      <c r="AE45" s="14"/>
      <c r="AF45" s="15"/>
    </row>
    <row r="46" spans="1:32" ht="15" x14ac:dyDescent="0.25">
      <c r="A46" s="6" t="s">
        <v>53</v>
      </c>
      <c r="B46" s="40"/>
      <c r="C46" s="40"/>
      <c r="D46" s="40"/>
      <c r="E46" s="40"/>
      <c r="F46" s="40"/>
      <c r="G46" s="40"/>
      <c r="H46" s="40"/>
      <c r="I46" s="14"/>
      <c r="J46" s="14"/>
      <c r="K46" s="40"/>
      <c r="L46" s="14"/>
      <c r="M46" s="14"/>
      <c r="N46" s="14"/>
      <c r="O46" s="14"/>
      <c r="P46" s="14"/>
      <c r="Q46" s="14"/>
      <c r="R46" s="40"/>
      <c r="S46" s="14"/>
      <c r="T46" s="14"/>
      <c r="U46" s="14"/>
      <c r="V46" s="40">
        <v>0.94</v>
      </c>
      <c r="W46" s="40">
        <v>0.94</v>
      </c>
      <c r="X46" s="40">
        <v>0.94</v>
      </c>
      <c r="Y46" s="14"/>
      <c r="Z46" s="14"/>
      <c r="AA46" s="14"/>
      <c r="AB46" s="14"/>
      <c r="AC46" s="14"/>
      <c r="AD46" s="40"/>
      <c r="AE46" s="14"/>
      <c r="AF46" s="15"/>
    </row>
    <row r="47" spans="1:32" ht="15" x14ac:dyDescent="0.25">
      <c r="A47" s="6" t="s">
        <v>54</v>
      </c>
      <c r="B47" s="40"/>
      <c r="C47" s="40"/>
      <c r="D47" s="40"/>
      <c r="E47" s="40"/>
      <c r="F47" s="40"/>
      <c r="G47" s="40"/>
      <c r="H47" s="40"/>
      <c r="I47" s="14"/>
      <c r="J47" s="14"/>
      <c r="K47" s="40"/>
      <c r="L47" s="14"/>
      <c r="M47" s="14"/>
      <c r="N47" s="14"/>
      <c r="O47" s="14"/>
      <c r="P47" s="14"/>
      <c r="Q47" s="14"/>
      <c r="R47" s="40"/>
      <c r="S47" s="14"/>
      <c r="T47" s="14"/>
      <c r="U47" s="14"/>
      <c r="V47" s="40">
        <v>0.94</v>
      </c>
      <c r="W47" s="40">
        <v>0.94</v>
      </c>
      <c r="X47" s="40">
        <v>0.94</v>
      </c>
      <c r="Y47" s="14"/>
      <c r="Z47" s="14"/>
      <c r="AA47" s="14"/>
      <c r="AB47" s="14"/>
      <c r="AC47" s="14"/>
      <c r="AD47" s="40"/>
      <c r="AE47" s="14"/>
      <c r="AF47" s="15"/>
    </row>
    <row r="48" spans="1:32" ht="15" x14ac:dyDescent="0.25">
      <c r="A48" s="6" t="s">
        <v>55</v>
      </c>
      <c r="B48" s="40"/>
      <c r="C48" s="40"/>
      <c r="D48" s="40"/>
      <c r="E48" s="40"/>
      <c r="F48" s="40"/>
      <c r="G48" s="40"/>
      <c r="H48" s="40"/>
      <c r="I48" s="14"/>
      <c r="J48" s="14"/>
      <c r="K48" s="40"/>
      <c r="L48" s="14"/>
      <c r="M48" s="14"/>
      <c r="N48" s="14"/>
      <c r="O48" s="14"/>
      <c r="P48" s="14"/>
      <c r="Q48" s="14"/>
      <c r="R48" s="40"/>
      <c r="S48" s="14"/>
      <c r="T48" s="14"/>
      <c r="U48" s="14"/>
      <c r="V48" s="40">
        <v>0.94</v>
      </c>
      <c r="W48" s="40">
        <v>0.94</v>
      </c>
      <c r="X48" s="40">
        <v>0.94</v>
      </c>
      <c r="Y48" s="14"/>
      <c r="Z48" s="14"/>
      <c r="AA48" s="14"/>
      <c r="AB48" s="14"/>
      <c r="AC48" s="14"/>
      <c r="AD48" s="40"/>
      <c r="AE48" s="14"/>
      <c r="AF48" s="15"/>
    </row>
    <row r="49" spans="1:32" ht="15" x14ac:dyDescent="0.25">
      <c r="A49" s="6" t="s">
        <v>56</v>
      </c>
      <c r="B49" s="40"/>
      <c r="C49" s="40"/>
      <c r="D49" s="40"/>
      <c r="E49" s="40"/>
      <c r="F49" s="40"/>
      <c r="G49" s="40"/>
      <c r="H49" s="40"/>
      <c r="I49" s="14"/>
      <c r="J49" s="14"/>
      <c r="K49" s="40"/>
      <c r="L49" s="14"/>
      <c r="M49" s="14"/>
      <c r="N49" s="14"/>
      <c r="O49" s="14"/>
      <c r="P49" s="14"/>
      <c r="Q49" s="14"/>
      <c r="R49" s="40"/>
      <c r="S49" s="14"/>
      <c r="T49" s="14"/>
      <c r="U49" s="14"/>
      <c r="V49" s="40">
        <v>0.94</v>
      </c>
      <c r="W49" s="40">
        <v>0.94</v>
      </c>
      <c r="X49" s="40">
        <v>0.94</v>
      </c>
      <c r="Y49" s="14"/>
      <c r="Z49" s="14"/>
      <c r="AA49" s="14"/>
      <c r="AB49" s="14"/>
      <c r="AC49" s="14"/>
      <c r="AD49" s="40"/>
      <c r="AE49" s="14"/>
      <c r="AF49" s="15"/>
    </row>
    <row r="50" spans="1:32" ht="15" x14ac:dyDescent="0.25">
      <c r="A50" s="6" t="s">
        <v>57</v>
      </c>
      <c r="B50" s="40"/>
      <c r="C50" s="40"/>
      <c r="D50" s="40"/>
      <c r="E50" s="40"/>
      <c r="F50" s="40"/>
      <c r="G50" s="40"/>
      <c r="H50" s="40"/>
      <c r="I50" s="14"/>
      <c r="J50" s="14"/>
      <c r="K50" s="40"/>
      <c r="L50" s="14"/>
      <c r="M50" s="14"/>
      <c r="N50" s="14"/>
      <c r="O50" s="14"/>
      <c r="P50" s="14"/>
      <c r="Q50" s="14"/>
      <c r="R50" s="40"/>
      <c r="S50" s="14"/>
      <c r="T50" s="14"/>
      <c r="U50" s="14"/>
      <c r="V50" s="40">
        <v>0.94</v>
      </c>
      <c r="W50" s="40">
        <v>0.94</v>
      </c>
      <c r="X50" s="40">
        <v>0.94</v>
      </c>
      <c r="Y50" s="14"/>
      <c r="Z50" s="14"/>
      <c r="AA50" s="14"/>
      <c r="AB50" s="14"/>
      <c r="AC50" s="14"/>
      <c r="AD50" s="40"/>
      <c r="AE50" s="14"/>
      <c r="AF50" s="15"/>
    </row>
    <row r="51" spans="1:32" ht="15" x14ac:dyDescent="0.25">
      <c r="A51" s="6" t="s">
        <v>58</v>
      </c>
      <c r="B51" s="40"/>
      <c r="C51" s="40"/>
      <c r="D51" s="40"/>
      <c r="E51" s="40"/>
      <c r="F51" s="40"/>
      <c r="G51" s="40"/>
      <c r="H51" s="40"/>
      <c r="I51" s="14"/>
      <c r="J51" s="14"/>
      <c r="K51" s="40"/>
      <c r="L51" s="14"/>
      <c r="M51" s="14"/>
      <c r="N51" s="14"/>
      <c r="O51" s="14"/>
      <c r="P51" s="14"/>
      <c r="Q51" s="14"/>
      <c r="R51" s="40"/>
      <c r="S51" s="14"/>
      <c r="T51" s="14"/>
      <c r="U51" s="14"/>
      <c r="V51" s="40">
        <v>0.94</v>
      </c>
      <c r="W51" s="40">
        <v>0.94</v>
      </c>
      <c r="X51" s="40">
        <v>0.94</v>
      </c>
      <c r="Y51" s="14"/>
      <c r="Z51" s="14"/>
      <c r="AA51" s="14"/>
      <c r="AB51" s="14"/>
      <c r="AC51" s="14"/>
      <c r="AD51" s="40"/>
      <c r="AE51" s="14"/>
      <c r="AF51" s="15"/>
    </row>
    <row r="52" spans="1:32" ht="15" x14ac:dyDescent="0.25">
      <c r="A52" s="6" t="s">
        <v>59</v>
      </c>
      <c r="B52" s="40"/>
      <c r="C52" s="40"/>
      <c r="D52" s="40"/>
      <c r="E52" s="40"/>
      <c r="F52" s="40"/>
      <c r="G52" s="40"/>
      <c r="H52" s="40"/>
      <c r="I52" s="14"/>
      <c r="J52" s="14"/>
      <c r="K52" s="40"/>
      <c r="L52" s="14"/>
      <c r="M52" s="14"/>
      <c r="N52" s="14"/>
      <c r="O52" s="14"/>
      <c r="P52" s="14"/>
      <c r="Q52" s="14"/>
      <c r="R52" s="40"/>
      <c r="S52" s="14"/>
      <c r="T52" s="14"/>
      <c r="U52" s="14"/>
      <c r="V52" s="40">
        <v>0.94</v>
      </c>
      <c r="W52" s="40">
        <v>0.94</v>
      </c>
      <c r="X52" s="40">
        <v>0.94</v>
      </c>
      <c r="Y52" s="14"/>
      <c r="Z52" s="14"/>
      <c r="AA52" s="14"/>
      <c r="AB52" s="14"/>
      <c r="AC52" s="14"/>
      <c r="AD52" s="40"/>
      <c r="AE52" s="14"/>
      <c r="AF52" s="15"/>
    </row>
    <row r="53" spans="1:32" ht="15" x14ac:dyDescent="0.25">
      <c r="A53" s="6" t="s">
        <v>60</v>
      </c>
      <c r="B53" s="40"/>
      <c r="C53" s="40"/>
      <c r="D53" s="40"/>
      <c r="E53" s="40"/>
      <c r="F53" s="40"/>
      <c r="G53" s="40"/>
      <c r="H53" s="40"/>
      <c r="I53" s="14"/>
      <c r="J53" s="14"/>
      <c r="K53" s="40"/>
      <c r="L53" s="14"/>
      <c r="M53" s="14"/>
      <c r="N53" s="14"/>
      <c r="O53" s="14"/>
      <c r="P53" s="14"/>
      <c r="Q53" s="14"/>
      <c r="R53" s="40"/>
      <c r="S53" s="14"/>
      <c r="T53" s="14"/>
      <c r="U53" s="14"/>
      <c r="V53" s="40">
        <v>0.94</v>
      </c>
      <c r="W53" s="40">
        <v>0.94</v>
      </c>
      <c r="X53" s="40">
        <v>0.94</v>
      </c>
      <c r="Y53" s="14"/>
      <c r="Z53" s="14"/>
      <c r="AA53" s="14"/>
      <c r="AB53" s="14"/>
      <c r="AC53" s="14"/>
      <c r="AD53" s="40"/>
      <c r="AE53" s="14"/>
      <c r="AF53" s="15"/>
    </row>
    <row r="54" spans="1:32" ht="15" x14ac:dyDescent="0.25">
      <c r="A54" s="6" t="s">
        <v>61</v>
      </c>
      <c r="B54" s="40"/>
      <c r="C54" s="40"/>
      <c r="D54" s="40"/>
      <c r="E54" s="40"/>
      <c r="F54" s="40"/>
      <c r="G54" s="40"/>
      <c r="H54" s="40"/>
      <c r="I54" s="14"/>
      <c r="J54" s="14"/>
      <c r="K54" s="40"/>
      <c r="L54" s="14"/>
      <c r="M54" s="14"/>
      <c r="N54" s="14"/>
      <c r="O54" s="14"/>
      <c r="P54" s="14"/>
      <c r="Q54" s="14"/>
      <c r="R54" s="40"/>
      <c r="S54" s="14"/>
      <c r="T54" s="14"/>
      <c r="U54" s="14"/>
      <c r="V54" s="40">
        <v>0.94</v>
      </c>
      <c r="W54" s="40">
        <v>0.94</v>
      </c>
      <c r="X54" s="40">
        <v>0.94</v>
      </c>
      <c r="Y54" s="14"/>
      <c r="Z54" s="14"/>
      <c r="AA54" s="14"/>
      <c r="AB54" s="14"/>
      <c r="AC54" s="14"/>
      <c r="AD54" s="40"/>
      <c r="AE54" s="14"/>
      <c r="AF54" s="15"/>
    </row>
    <row r="55" spans="1:32" ht="15" x14ac:dyDescent="0.25">
      <c r="A55" s="6" t="s">
        <v>62</v>
      </c>
      <c r="B55" s="40"/>
      <c r="C55" s="40"/>
      <c r="D55" s="40"/>
      <c r="E55" s="40"/>
      <c r="F55" s="40"/>
      <c r="G55" s="40"/>
      <c r="H55" s="40"/>
      <c r="I55" s="14"/>
      <c r="J55" s="14"/>
      <c r="K55" s="40"/>
      <c r="L55" s="14"/>
      <c r="M55" s="14"/>
      <c r="N55" s="14"/>
      <c r="O55" s="14"/>
      <c r="P55" s="14"/>
      <c r="Q55" s="14"/>
      <c r="R55" s="40"/>
      <c r="S55" s="14"/>
      <c r="T55" s="14"/>
      <c r="U55" s="14"/>
      <c r="V55" s="40">
        <v>0.94</v>
      </c>
      <c r="W55" s="40">
        <v>0.94</v>
      </c>
      <c r="X55" s="40">
        <v>0.94</v>
      </c>
      <c r="Y55" s="14"/>
      <c r="Z55" s="14"/>
      <c r="AA55" s="14"/>
      <c r="AB55" s="14"/>
      <c r="AC55" s="14"/>
      <c r="AD55" s="40"/>
      <c r="AE55" s="14"/>
      <c r="AF55" s="15"/>
    </row>
    <row r="56" spans="1:32" ht="15" x14ac:dyDescent="0.25">
      <c r="A56" s="6" t="s">
        <v>63</v>
      </c>
      <c r="B56" s="40"/>
      <c r="C56" s="40"/>
      <c r="D56" s="40"/>
      <c r="E56" s="40"/>
      <c r="F56" s="40"/>
      <c r="G56" s="40"/>
      <c r="H56" s="40"/>
      <c r="I56" s="14"/>
      <c r="J56" s="14"/>
      <c r="K56" s="40"/>
      <c r="L56" s="14"/>
      <c r="M56" s="14"/>
      <c r="N56" s="14"/>
      <c r="O56" s="14"/>
      <c r="P56" s="14"/>
      <c r="Q56" s="14"/>
      <c r="R56" s="40"/>
      <c r="S56" s="14"/>
      <c r="T56" s="14"/>
      <c r="U56" s="14"/>
      <c r="V56" s="40">
        <v>0.94</v>
      </c>
      <c r="W56" s="40">
        <v>0.94</v>
      </c>
      <c r="X56" s="40">
        <v>0.94</v>
      </c>
      <c r="Y56" s="14"/>
      <c r="Z56" s="14"/>
      <c r="AA56" s="14"/>
      <c r="AB56" s="14"/>
      <c r="AC56" s="14"/>
      <c r="AD56" s="40"/>
      <c r="AE56" s="14"/>
      <c r="AF56" s="15"/>
    </row>
    <row r="57" spans="1:32" ht="15" x14ac:dyDescent="0.25">
      <c r="A57" s="6" t="s">
        <v>64</v>
      </c>
      <c r="B57" s="40"/>
      <c r="C57" s="40"/>
      <c r="D57" s="40"/>
      <c r="E57" s="40"/>
      <c r="F57" s="40"/>
      <c r="G57" s="40"/>
      <c r="H57" s="40"/>
      <c r="I57" s="14"/>
      <c r="J57" s="14"/>
      <c r="K57" s="40"/>
      <c r="L57" s="14"/>
      <c r="M57" s="14"/>
      <c r="N57" s="14"/>
      <c r="O57" s="14"/>
      <c r="P57" s="14"/>
      <c r="Q57" s="14"/>
      <c r="R57" s="40"/>
      <c r="S57" s="14"/>
      <c r="T57" s="14"/>
      <c r="U57" s="14"/>
      <c r="V57" s="40">
        <v>0.94</v>
      </c>
      <c r="W57" s="40">
        <v>0.94</v>
      </c>
      <c r="X57" s="40">
        <v>0.94</v>
      </c>
      <c r="Y57" s="14"/>
      <c r="Z57" s="14"/>
      <c r="AA57" s="14"/>
      <c r="AB57" s="14"/>
      <c r="AC57" s="14"/>
      <c r="AD57" s="40"/>
      <c r="AE57" s="14"/>
      <c r="AF57" s="15"/>
    </row>
    <row r="58" spans="1:32" ht="15" x14ac:dyDescent="0.25">
      <c r="A58" s="6" t="s">
        <v>65</v>
      </c>
      <c r="B58" s="40"/>
      <c r="C58" s="40"/>
      <c r="D58" s="40"/>
      <c r="E58" s="40"/>
      <c r="F58" s="40"/>
      <c r="G58" s="40"/>
      <c r="H58" s="40"/>
      <c r="I58" s="14"/>
      <c r="J58" s="14"/>
      <c r="K58" s="40"/>
      <c r="L58" s="14"/>
      <c r="M58" s="14"/>
      <c r="N58" s="14"/>
      <c r="O58" s="14"/>
      <c r="P58" s="14"/>
      <c r="Q58" s="14"/>
      <c r="R58" s="40"/>
      <c r="S58" s="14"/>
      <c r="T58" s="14"/>
      <c r="U58" s="14"/>
      <c r="V58" s="40">
        <v>0.94</v>
      </c>
      <c r="W58" s="40">
        <v>0.94</v>
      </c>
      <c r="X58" s="40">
        <v>0.94</v>
      </c>
      <c r="Y58" s="14"/>
      <c r="Z58" s="14"/>
      <c r="AA58" s="14"/>
      <c r="AB58" s="14"/>
      <c r="AC58" s="14"/>
      <c r="AD58" s="40"/>
      <c r="AE58" s="14"/>
      <c r="AF58" s="15"/>
    </row>
    <row r="59" spans="1:32" ht="15" x14ac:dyDescent="0.25">
      <c r="A59" s="6" t="s">
        <v>66</v>
      </c>
      <c r="B59" s="40"/>
      <c r="C59" s="40"/>
      <c r="D59" s="40"/>
      <c r="E59" s="40"/>
      <c r="F59" s="40"/>
      <c r="G59" s="40"/>
      <c r="H59" s="40"/>
      <c r="I59" s="14"/>
      <c r="J59" s="14"/>
      <c r="K59" s="40"/>
      <c r="L59" s="14"/>
      <c r="M59" s="14"/>
      <c r="N59" s="14"/>
      <c r="O59" s="14"/>
      <c r="P59" s="14"/>
      <c r="Q59" s="14"/>
      <c r="R59" s="40"/>
      <c r="S59" s="14"/>
      <c r="T59" s="14"/>
      <c r="U59" s="14"/>
      <c r="V59" s="40">
        <v>0.94</v>
      </c>
      <c r="W59" s="40">
        <v>0.94</v>
      </c>
      <c r="X59" s="40">
        <v>0.94</v>
      </c>
      <c r="Y59" s="14"/>
      <c r="Z59" s="14"/>
      <c r="AA59" s="14"/>
      <c r="AB59" s="14"/>
      <c r="AC59" s="14"/>
      <c r="AD59" s="40"/>
      <c r="AE59" s="14"/>
      <c r="AF59" s="15"/>
    </row>
    <row r="60" spans="1:32" ht="15" x14ac:dyDescent="0.25">
      <c r="A60" s="6" t="s">
        <v>67</v>
      </c>
      <c r="B60" s="40"/>
      <c r="C60" s="40"/>
      <c r="D60" s="40"/>
      <c r="E60" s="40"/>
      <c r="F60" s="40"/>
      <c r="G60" s="40"/>
      <c r="H60" s="40"/>
      <c r="I60" s="14"/>
      <c r="J60" s="14"/>
      <c r="K60" s="40"/>
      <c r="L60" s="14"/>
      <c r="M60" s="14"/>
      <c r="N60" s="14"/>
      <c r="O60" s="14"/>
      <c r="P60" s="14"/>
      <c r="Q60" s="14"/>
      <c r="R60" s="40"/>
      <c r="S60" s="14"/>
      <c r="T60" s="14"/>
      <c r="U60" s="14"/>
      <c r="V60" s="40">
        <v>0.94</v>
      </c>
      <c r="W60" s="40">
        <v>0.94</v>
      </c>
      <c r="X60" s="40">
        <v>0.94</v>
      </c>
      <c r="Y60" s="14"/>
      <c r="Z60" s="14"/>
      <c r="AA60" s="14"/>
      <c r="AB60" s="14"/>
      <c r="AC60" s="14"/>
      <c r="AD60" s="40"/>
      <c r="AE60" s="14"/>
      <c r="AF60" s="15"/>
    </row>
    <row r="61" spans="1:32" ht="15" x14ac:dyDescent="0.25">
      <c r="A61" s="6" t="s">
        <v>68</v>
      </c>
      <c r="B61" s="40"/>
      <c r="C61" s="40"/>
      <c r="D61" s="40"/>
      <c r="E61" s="40"/>
      <c r="F61" s="40"/>
      <c r="G61" s="40"/>
      <c r="H61" s="40"/>
      <c r="I61" s="14"/>
      <c r="J61" s="14"/>
      <c r="K61" s="40"/>
      <c r="L61" s="14"/>
      <c r="M61" s="14"/>
      <c r="N61" s="14"/>
      <c r="O61" s="14"/>
      <c r="P61" s="14"/>
      <c r="Q61" s="14"/>
      <c r="R61" s="40"/>
      <c r="S61" s="14"/>
      <c r="T61" s="14"/>
      <c r="U61" s="14"/>
      <c r="V61" s="40">
        <v>0.94</v>
      </c>
      <c r="W61" s="40">
        <v>0.94</v>
      </c>
      <c r="X61" s="40">
        <v>0.94</v>
      </c>
      <c r="Y61" s="14"/>
      <c r="Z61" s="14"/>
      <c r="AA61" s="14"/>
      <c r="AB61" s="14"/>
      <c r="AC61" s="14"/>
      <c r="AD61" s="40"/>
      <c r="AE61" s="14"/>
      <c r="AF61" s="15"/>
    </row>
    <row r="62" spans="1:32" ht="15" x14ac:dyDescent="0.25">
      <c r="A62" s="6" t="s">
        <v>69</v>
      </c>
      <c r="B62" s="40"/>
      <c r="C62" s="40"/>
      <c r="D62" s="40"/>
      <c r="E62" s="40"/>
      <c r="F62" s="40"/>
      <c r="G62" s="40"/>
      <c r="H62" s="40"/>
      <c r="I62" s="14"/>
      <c r="J62" s="14"/>
      <c r="K62" s="40"/>
      <c r="L62" s="14"/>
      <c r="M62" s="14"/>
      <c r="N62" s="14"/>
      <c r="O62" s="14"/>
      <c r="P62" s="14"/>
      <c r="Q62" s="14"/>
      <c r="R62" s="40"/>
      <c r="S62" s="14"/>
      <c r="T62" s="14"/>
      <c r="U62" s="14"/>
      <c r="V62" s="40">
        <v>0.94</v>
      </c>
      <c r="W62" s="40">
        <v>0.94</v>
      </c>
      <c r="X62" s="40">
        <v>0.94</v>
      </c>
      <c r="Y62" s="14"/>
      <c r="Z62" s="14"/>
      <c r="AA62" s="14"/>
      <c r="AB62" s="14"/>
      <c r="AC62" s="14"/>
      <c r="AD62" s="40"/>
      <c r="AE62" s="14"/>
      <c r="AF62" s="15"/>
    </row>
    <row r="63" spans="1:32" ht="15" x14ac:dyDescent="0.25">
      <c r="A63" s="6" t="s">
        <v>70</v>
      </c>
      <c r="B63" s="40"/>
      <c r="C63" s="40"/>
      <c r="D63" s="40"/>
      <c r="E63" s="40"/>
      <c r="F63" s="40"/>
      <c r="G63" s="40"/>
      <c r="H63" s="40"/>
      <c r="I63" s="14"/>
      <c r="J63" s="14"/>
      <c r="K63" s="40"/>
      <c r="L63" s="14"/>
      <c r="M63" s="14"/>
      <c r="N63" s="14"/>
      <c r="O63" s="14"/>
      <c r="P63" s="14"/>
      <c r="Q63" s="14"/>
      <c r="R63" s="40"/>
      <c r="S63" s="14"/>
      <c r="T63" s="14"/>
      <c r="U63" s="14"/>
      <c r="V63" s="40">
        <v>0.94</v>
      </c>
      <c r="W63" s="40">
        <v>0.94</v>
      </c>
      <c r="X63" s="40">
        <v>0.94</v>
      </c>
      <c r="Y63" s="14"/>
      <c r="Z63" s="14"/>
      <c r="AA63" s="14"/>
      <c r="AB63" s="14"/>
      <c r="AC63" s="14"/>
      <c r="AD63" s="40"/>
      <c r="AE63" s="14"/>
      <c r="AF63" s="15"/>
    </row>
    <row r="64" spans="1:32" ht="15" x14ac:dyDescent="0.25">
      <c r="A64" s="6" t="s">
        <v>71</v>
      </c>
      <c r="B64" s="40"/>
      <c r="C64" s="40"/>
      <c r="D64" s="40"/>
      <c r="E64" s="40"/>
      <c r="F64" s="40"/>
      <c r="G64" s="40"/>
      <c r="H64" s="40"/>
      <c r="I64" s="14"/>
      <c r="J64" s="14"/>
      <c r="K64" s="40"/>
      <c r="L64" s="14"/>
      <c r="M64" s="14"/>
      <c r="N64" s="14"/>
      <c r="O64" s="14"/>
      <c r="P64" s="14"/>
      <c r="Q64" s="14"/>
      <c r="R64" s="40"/>
      <c r="S64" s="14"/>
      <c r="T64" s="14"/>
      <c r="U64" s="14"/>
      <c r="V64" s="40">
        <v>0.94</v>
      </c>
      <c r="W64" s="40">
        <v>0.94</v>
      </c>
      <c r="X64" s="40">
        <v>0.94</v>
      </c>
      <c r="Y64" s="14"/>
      <c r="Z64" s="14"/>
      <c r="AA64" s="14"/>
      <c r="AB64" s="14"/>
      <c r="AC64" s="14"/>
      <c r="AD64" s="40"/>
      <c r="AE64" s="14"/>
      <c r="AF64" s="15"/>
    </row>
    <row r="65" spans="1:32" ht="15" x14ac:dyDescent="0.25">
      <c r="A65" s="6" t="s">
        <v>72</v>
      </c>
      <c r="B65" s="40"/>
      <c r="C65" s="40"/>
      <c r="D65" s="40"/>
      <c r="E65" s="40"/>
      <c r="F65" s="40"/>
      <c r="G65" s="40"/>
      <c r="H65" s="40"/>
      <c r="I65" s="14"/>
      <c r="J65" s="14"/>
      <c r="K65" s="40"/>
      <c r="L65" s="14"/>
      <c r="M65" s="14"/>
      <c r="N65" s="14"/>
      <c r="O65" s="14"/>
      <c r="P65" s="14"/>
      <c r="Q65" s="14"/>
      <c r="R65" s="40"/>
      <c r="S65" s="14"/>
      <c r="T65" s="14"/>
      <c r="U65" s="14"/>
      <c r="V65" s="40">
        <v>0.94</v>
      </c>
      <c r="W65" s="40">
        <v>0.94</v>
      </c>
      <c r="X65" s="40">
        <v>0.94</v>
      </c>
      <c r="Y65" s="14"/>
      <c r="Z65" s="14"/>
      <c r="AA65" s="14"/>
      <c r="AB65" s="14"/>
      <c r="AC65" s="14"/>
      <c r="AD65" s="40"/>
      <c r="AE65" s="14"/>
      <c r="AF65" s="15"/>
    </row>
    <row r="66" spans="1:32" ht="15" x14ac:dyDescent="0.25">
      <c r="A66" s="6" t="s">
        <v>73</v>
      </c>
      <c r="B66" s="40"/>
      <c r="C66" s="40"/>
      <c r="D66" s="40"/>
      <c r="E66" s="40"/>
      <c r="F66" s="40"/>
      <c r="G66" s="40"/>
      <c r="H66" s="40"/>
      <c r="I66" s="14"/>
      <c r="J66" s="14"/>
      <c r="K66" s="40"/>
      <c r="L66" s="14"/>
      <c r="M66" s="14"/>
      <c r="N66" s="14"/>
      <c r="O66" s="14"/>
      <c r="P66" s="14"/>
      <c r="Q66" s="14"/>
      <c r="R66" s="40"/>
      <c r="S66" s="14"/>
      <c r="T66" s="14"/>
      <c r="U66" s="14"/>
      <c r="V66" s="40">
        <v>0.94</v>
      </c>
      <c r="W66" s="40">
        <v>0.94</v>
      </c>
      <c r="X66" s="40">
        <v>0.94</v>
      </c>
      <c r="Y66" s="14"/>
      <c r="Z66" s="14"/>
      <c r="AA66" s="14"/>
      <c r="AB66" s="14"/>
      <c r="AC66" s="14"/>
      <c r="AD66" s="40"/>
      <c r="AE66" s="14"/>
      <c r="AF66" s="15"/>
    </row>
    <row r="67" spans="1:32" ht="15" x14ac:dyDescent="0.25">
      <c r="A67" s="6" t="s">
        <v>74</v>
      </c>
      <c r="B67" s="40"/>
      <c r="C67" s="40"/>
      <c r="D67" s="40"/>
      <c r="E67" s="40"/>
      <c r="F67" s="40"/>
      <c r="G67" s="40"/>
      <c r="H67" s="40"/>
      <c r="I67" s="14"/>
      <c r="J67" s="14"/>
      <c r="K67" s="40"/>
      <c r="L67" s="14"/>
      <c r="M67" s="14"/>
      <c r="N67" s="14"/>
      <c r="O67" s="14"/>
      <c r="P67" s="14"/>
      <c r="Q67" s="14"/>
      <c r="R67" s="40"/>
      <c r="S67" s="14"/>
      <c r="T67" s="14"/>
      <c r="U67" s="14"/>
      <c r="V67" s="40">
        <v>0.94</v>
      </c>
      <c r="W67" s="40">
        <v>0.94</v>
      </c>
      <c r="X67" s="40">
        <v>0.94</v>
      </c>
      <c r="Y67" s="14"/>
      <c r="Z67" s="14"/>
      <c r="AA67" s="14"/>
      <c r="AB67" s="14"/>
      <c r="AC67" s="14"/>
      <c r="AD67" s="40"/>
      <c r="AE67" s="14"/>
      <c r="AF67" s="15"/>
    </row>
    <row r="68" spans="1:32" ht="15" x14ac:dyDescent="0.25">
      <c r="A68" s="6" t="s">
        <v>75</v>
      </c>
      <c r="B68" s="40"/>
      <c r="C68" s="40"/>
      <c r="D68" s="40"/>
      <c r="E68" s="40"/>
      <c r="F68" s="40"/>
      <c r="G68" s="40"/>
      <c r="H68" s="40"/>
      <c r="I68" s="14"/>
      <c r="J68" s="14"/>
      <c r="K68" s="40"/>
      <c r="L68" s="14"/>
      <c r="M68" s="14"/>
      <c r="N68" s="14"/>
      <c r="O68" s="14"/>
      <c r="P68" s="14"/>
      <c r="Q68" s="14"/>
      <c r="R68" s="40"/>
      <c r="S68" s="14"/>
      <c r="T68" s="14"/>
      <c r="U68" s="14"/>
      <c r="V68" s="40">
        <v>0.94</v>
      </c>
      <c r="W68" s="40">
        <v>0.94</v>
      </c>
      <c r="X68" s="40">
        <v>0.94</v>
      </c>
      <c r="Y68" s="14"/>
      <c r="Z68" s="14"/>
      <c r="AA68" s="14"/>
      <c r="AB68" s="14"/>
      <c r="AC68" s="14"/>
      <c r="AD68" s="40"/>
      <c r="AE68" s="14"/>
      <c r="AF68" s="15"/>
    </row>
    <row r="69" spans="1:32" ht="15" x14ac:dyDescent="0.25">
      <c r="A69" s="6" t="s">
        <v>76</v>
      </c>
      <c r="B69" s="40"/>
      <c r="C69" s="40"/>
      <c r="D69" s="40"/>
      <c r="E69" s="40"/>
      <c r="F69" s="40"/>
      <c r="G69" s="40"/>
      <c r="H69" s="40"/>
      <c r="I69" s="14"/>
      <c r="J69" s="14"/>
      <c r="K69" s="40"/>
      <c r="L69" s="14"/>
      <c r="M69" s="14"/>
      <c r="N69" s="14"/>
      <c r="O69" s="14"/>
      <c r="P69" s="14"/>
      <c r="Q69" s="14"/>
      <c r="R69" s="40"/>
      <c r="S69" s="14"/>
      <c r="T69" s="14"/>
      <c r="U69" s="14"/>
      <c r="V69" s="40">
        <v>0.94</v>
      </c>
      <c r="W69" s="40">
        <v>0.94</v>
      </c>
      <c r="X69" s="40">
        <v>0.94</v>
      </c>
      <c r="Y69" s="14"/>
      <c r="Z69" s="14"/>
      <c r="AA69" s="14"/>
      <c r="AB69" s="14"/>
      <c r="AC69" s="14"/>
      <c r="AD69" s="40"/>
      <c r="AE69" s="14"/>
      <c r="AF69" s="15"/>
    </row>
    <row r="70" spans="1:32" ht="15" x14ac:dyDescent="0.25">
      <c r="A70" s="6" t="s">
        <v>77</v>
      </c>
      <c r="B70" s="40"/>
      <c r="C70" s="40"/>
      <c r="D70" s="40"/>
      <c r="E70" s="40"/>
      <c r="F70" s="40"/>
      <c r="G70" s="40"/>
      <c r="H70" s="40"/>
      <c r="I70" s="14"/>
      <c r="J70" s="14"/>
      <c r="K70" s="40"/>
      <c r="L70" s="14"/>
      <c r="M70" s="14"/>
      <c r="N70" s="14"/>
      <c r="O70" s="14"/>
      <c r="P70" s="14"/>
      <c r="Q70" s="14"/>
      <c r="R70" s="40"/>
      <c r="S70" s="14"/>
      <c r="T70" s="14"/>
      <c r="U70" s="14"/>
      <c r="V70" s="40">
        <v>0.94</v>
      </c>
      <c r="W70" s="40">
        <v>0.94</v>
      </c>
      <c r="X70" s="40">
        <v>0.94</v>
      </c>
      <c r="Y70" s="14"/>
      <c r="Z70" s="14"/>
      <c r="AA70" s="14"/>
      <c r="AB70" s="14"/>
      <c r="AC70" s="14"/>
      <c r="AD70" s="40"/>
      <c r="AE70" s="14"/>
      <c r="AF70" s="15"/>
    </row>
    <row r="71" spans="1:32" ht="15" x14ac:dyDescent="0.25">
      <c r="A71" s="6" t="s">
        <v>78</v>
      </c>
      <c r="B71" s="40"/>
      <c r="C71" s="40"/>
      <c r="D71" s="40"/>
      <c r="E71" s="40"/>
      <c r="F71" s="40"/>
      <c r="G71" s="40"/>
      <c r="H71" s="40"/>
      <c r="I71" s="14"/>
      <c r="J71" s="14"/>
      <c r="K71" s="40"/>
      <c r="L71" s="14"/>
      <c r="M71" s="14"/>
      <c r="N71" s="14"/>
      <c r="O71" s="14"/>
      <c r="P71" s="14"/>
      <c r="Q71" s="14"/>
      <c r="R71" s="40"/>
      <c r="S71" s="14"/>
      <c r="T71" s="14"/>
      <c r="U71" s="14"/>
      <c r="V71" s="40">
        <v>0.94</v>
      </c>
      <c r="W71" s="40">
        <v>0.94</v>
      </c>
      <c r="X71" s="40">
        <v>0.94</v>
      </c>
      <c r="Y71" s="14"/>
      <c r="Z71" s="14"/>
      <c r="AA71" s="14"/>
      <c r="AB71" s="14"/>
      <c r="AC71" s="14"/>
      <c r="AD71" s="40"/>
      <c r="AE71" s="14"/>
      <c r="AF71" s="15"/>
    </row>
    <row r="72" spans="1:32" ht="15" x14ac:dyDescent="0.25">
      <c r="A72" s="6" t="s">
        <v>79</v>
      </c>
      <c r="B72" s="40"/>
      <c r="C72" s="40"/>
      <c r="D72" s="40"/>
      <c r="E72" s="40"/>
      <c r="F72" s="40"/>
      <c r="G72" s="40"/>
      <c r="H72" s="40"/>
      <c r="I72" s="14"/>
      <c r="J72" s="14"/>
      <c r="K72" s="40"/>
      <c r="L72" s="14"/>
      <c r="M72" s="14"/>
      <c r="N72" s="14"/>
      <c r="O72" s="14"/>
      <c r="P72" s="14"/>
      <c r="Q72" s="14"/>
      <c r="R72" s="40"/>
      <c r="S72" s="14"/>
      <c r="T72" s="14"/>
      <c r="U72" s="14"/>
      <c r="V72" s="40">
        <v>0.94</v>
      </c>
      <c r="W72" s="40">
        <v>0.94</v>
      </c>
      <c r="X72" s="40">
        <v>0.94</v>
      </c>
      <c r="Y72" s="14"/>
      <c r="Z72" s="14"/>
      <c r="AA72" s="14"/>
      <c r="AB72" s="14"/>
      <c r="AC72" s="14"/>
      <c r="AD72" s="40"/>
      <c r="AE72" s="14"/>
      <c r="AF72" s="15"/>
    </row>
    <row r="73" spans="1:32" ht="15" x14ac:dyDescent="0.25">
      <c r="A73" s="6" t="s">
        <v>80</v>
      </c>
      <c r="B73" s="40"/>
      <c r="C73" s="40"/>
      <c r="D73" s="40"/>
      <c r="E73" s="40"/>
      <c r="F73" s="40"/>
      <c r="G73" s="40"/>
      <c r="H73" s="40"/>
      <c r="I73" s="14"/>
      <c r="J73" s="14"/>
      <c r="K73" s="40"/>
      <c r="L73" s="14"/>
      <c r="M73" s="14"/>
      <c r="N73" s="14"/>
      <c r="O73" s="14"/>
      <c r="P73" s="14"/>
      <c r="Q73" s="14"/>
      <c r="R73" s="40"/>
      <c r="S73" s="14"/>
      <c r="T73" s="14"/>
      <c r="U73" s="14"/>
      <c r="V73" s="40">
        <v>0.94</v>
      </c>
      <c r="W73" s="40">
        <v>0.94</v>
      </c>
      <c r="X73" s="40">
        <v>0.94</v>
      </c>
      <c r="Y73" s="14"/>
      <c r="Z73" s="14"/>
      <c r="AA73" s="14"/>
      <c r="AB73" s="14"/>
      <c r="AC73" s="14"/>
      <c r="AD73" s="40"/>
      <c r="AE73" s="14"/>
      <c r="AF73" s="15"/>
    </row>
    <row r="74" spans="1:32" ht="15" x14ac:dyDescent="0.25">
      <c r="A74" s="6" t="s">
        <v>81</v>
      </c>
      <c r="B74" s="40"/>
      <c r="C74" s="40"/>
      <c r="D74" s="40"/>
      <c r="E74" s="40"/>
      <c r="F74" s="40"/>
      <c r="G74" s="40"/>
      <c r="H74" s="40"/>
      <c r="I74" s="14"/>
      <c r="J74" s="14"/>
      <c r="K74" s="40"/>
      <c r="L74" s="14"/>
      <c r="M74" s="14"/>
      <c r="N74" s="14"/>
      <c r="O74" s="14"/>
      <c r="P74" s="14"/>
      <c r="Q74" s="14"/>
      <c r="R74" s="40"/>
      <c r="S74" s="14"/>
      <c r="T74" s="14"/>
      <c r="U74" s="14"/>
      <c r="V74" s="40">
        <v>0</v>
      </c>
      <c r="W74" s="40">
        <v>0.94</v>
      </c>
      <c r="X74" s="40">
        <v>0.94</v>
      </c>
      <c r="Y74" s="14"/>
      <c r="Z74" s="14"/>
      <c r="AA74" s="14"/>
      <c r="AB74" s="14"/>
      <c r="AC74" s="14"/>
      <c r="AD74" s="40"/>
      <c r="AE74" s="14"/>
      <c r="AF74" s="15"/>
    </row>
    <row r="75" spans="1:32" ht="15" x14ac:dyDescent="0.25">
      <c r="A75" s="6" t="s">
        <v>82</v>
      </c>
      <c r="B75" s="40"/>
      <c r="C75" s="40"/>
      <c r="D75" s="40"/>
      <c r="E75" s="40"/>
      <c r="F75" s="40"/>
      <c r="G75" s="40"/>
      <c r="H75" s="40"/>
      <c r="I75" s="14"/>
      <c r="J75" s="14"/>
      <c r="K75" s="40"/>
      <c r="L75" s="14"/>
      <c r="M75" s="14"/>
      <c r="N75" s="14"/>
      <c r="O75" s="14"/>
      <c r="P75" s="14"/>
      <c r="Q75" s="14"/>
      <c r="R75" s="40"/>
      <c r="S75" s="14"/>
      <c r="T75" s="14"/>
      <c r="U75" s="14"/>
      <c r="V75" s="40">
        <v>0.94</v>
      </c>
      <c r="W75" s="40">
        <v>0.94</v>
      </c>
      <c r="X75" s="40">
        <v>0.94</v>
      </c>
      <c r="Y75" s="14"/>
      <c r="Z75" s="14"/>
      <c r="AA75" s="14"/>
      <c r="AB75" s="14"/>
      <c r="AC75" s="14"/>
      <c r="AD75" s="40"/>
      <c r="AE75" s="14"/>
      <c r="AF75" s="15"/>
    </row>
    <row r="76" spans="1:32" ht="15" x14ac:dyDescent="0.25">
      <c r="A76" s="6" t="s">
        <v>83</v>
      </c>
      <c r="B76" s="40"/>
      <c r="C76" s="40"/>
      <c r="D76" s="40"/>
      <c r="E76" s="40"/>
      <c r="F76" s="40"/>
      <c r="G76" s="40"/>
      <c r="H76" s="40"/>
      <c r="I76" s="14"/>
      <c r="J76" s="14"/>
      <c r="K76" s="40"/>
      <c r="L76" s="14"/>
      <c r="M76" s="14"/>
      <c r="N76" s="14"/>
      <c r="O76" s="14"/>
      <c r="P76" s="14"/>
      <c r="Q76" s="14"/>
      <c r="R76" s="40"/>
      <c r="S76" s="14"/>
      <c r="T76" s="14"/>
      <c r="U76" s="14"/>
      <c r="V76" s="40">
        <v>0.94</v>
      </c>
      <c r="W76" s="40">
        <v>0.94</v>
      </c>
      <c r="X76" s="40">
        <v>0.94</v>
      </c>
      <c r="Y76" s="14"/>
      <c r="Z76" s="14"/>
      <c r="AA76" s="14"/>
      <c r="AB76" s="14"/>
      <c r="AC76" s="14"/>
      <c r="AD76" s="40"/>
      <c r="AE76" s="14"/>
      <c r="AF76" s="15"/>
    </row>
    <row r="77" spans="1:32" ht="15" x14ac:dyDescent="0.25">
      <c r="A77" s="6" t="s">
        <v>84</v>
      </c>
      <c r="B77" s="40"/>
      <c r="C77" s="40"/>
      <c r="D77" s="40"/>
      <c r="E77" s="40"/>
      <c r="F77" s="40"/>
      <c r="G77" s="40"/>
      <c r="H77" s="40"/>
      <c r="I77" s="14"/>
      <c r="J77" s="14"/>
      <c r="K77" s="40"/>
      <c r="L77" s="14"/>
      <c r="M77" s="14"/>
      <c r="N77" s="14"/>
      <c r="O77" s="14"/>
      <c r="P77" s="14"/>
      <c r="Q77" s="14"/>
      <c r="R77" s="40"/>
      <c r="S77" s="14"/>
      <c r="T77" s="14"/>
      <c r="U77" s="14"/>
      <c r="V77" s="40">
        <v>0.94</v>
      </c>
      <c r="W77" s="40">
        <v>0.94</v>
      </c>
      <c r="X77" s="40">
        <v>0.94</v>
      </c>
      <c r="Y77" s="14"/>
      <c r="Z77" s="14"/>
      <c r="AA77" s="14"/>
      <c r="AB77" s="14"/>
      <c r="AC77" s="14"/>
      <c r="AD77" s="40"/>
      <c r="AE77" s="14"/>
      <c r="AF77" s="15"/>
    </row>
    <row r="78" spans="1:32" ht="15" x14ac:dyDescent="0.25">
      <c r="A78" s="6" t="s">
        <v>85</v>
      </c>
      <c r="B78" s="40"/>
      <c r="C78" s="40"/>
      <c r="D78" s="40"/>
      <c r="E78" s="40"/>
      <c r="F78" s="40"/>
      <c r="G78" s="40"/>
      <c r="H78" s="40"/>
      <c r="I78" s="14"/>
      <c r="J78" s="14"/>
      <c r="K78" s="40"/>
      <c r="L78" s="14"/>
      <c r="M78" s="14"/>
      <c r="N78" s="14"/>
      <c r="O78" s="14"/>
      <c r="P78" s="14"/>
      <c r="Q78" s="14"/>
      <c r="R78" s="40"/>
      <c r="S78" s="14"/>
      <c r="T78" s="14"/>
      <c r="U78" s="14"/>
      <c r="V78" s="40">
        <v>0.94</v>
      </c>
      <c r="W78" s="40">
        <v>0.94</v>
      </c>
      <c r="X78" s="40">
        <v>0.94</v>
      </c>
      <c r="Y78" s="14"/>
      <c r="Z78" s="14"/>
      <c r="AA78" s="14"/>
      <c r="AB78" s="14"/>
      <c r="AC78" s="14"/>
      <c r="AD78" s="40"/>
      <c r="AE78" s="14"/>
      <c r="AF78" s="15"/>
    </row>
    <row r="79" spans="1:32" ht="15" x14ac:dyDescent="0.25">
      <c r="A79" s="6" t="s">
        <v>86</v>
      </c>
      <c r="B79" s="40"/>
      <c r="C79" s="40"/>
      <c r="D79" s="40"/>
      <c r="E79" s="40"/>
      <c r="F79" s="40"/>
      <c r="G79" s="40"/>
      <c r="H79" s="40"/>
      <c r="I79" s="14"/>
      <c r="J79" s="14"/>
      <c r="K79" s="40"/>
      <c r="L79" s="14"/>
      <c r="M79" s="14"/>
      <c r="N79" s="14"/>
      <c r="O79" s="14"/>
      <c r="P79" s="14"/>
      <c r="Q79" s="14"/>
      <c r="R79" s="40"/>
      <c r="S79" s="14"/>
      <c r="T79" s="14"/>
      <c r="U79" s="14"/>
      <c r="V79" s="40">
        <v>0.94</v>
      </c>
      <c r="W79" s="40">
        <v>0.94</v>
      </c>
      <c r="X79" s="40">
        <v>0</v>
      </c>
      <c r="Y79" s="14"/>
      <c r="Z79" s="14"/>
      <c r="AA79" s="14"/>
      <c r="AB79" s="14"/>
      <c r="AC79" s="14"/>
      <c r="AD79" s="40"/>
      <c r="AE79" s="14"/>
      <c r="AF79" s="15"/>
    </row>
    <row r="80" spans="1:32" ht="15" x14ac:dyDescent="0.25">
      <c r="A80" s="6" t="s">
        <v>87</v>
      </c>
      <c r="B80" s="40"/>
      <c r="C80" s="40"/>
      <c r="D80" s="40"/>
      <c r="E80" s="40"/>
      <c r="F80" s="40"/>
      <c r="G80" s="40"/>
      <c r="H80" s="40"/>
      <c r="I80" s="14"/>
      <c r="J80" s="14"/>
      <c r="K80" s="40"/>
      <c r="L80" s="14"/>
      <c r="M80" s="14"/>
      <c r="N80" s="14"/>
      <c r="O80" s="14"/>
      <c r="P80" s="14"/>
      <c r="Q80" s="14"/>
      <c r="R80" s="40"/>
      <c r="S80" s="14"/>
      <c r="T80" s="14"/>
      <c r="U80" s="14"/>
      <c r="V80" s="40">
        <v>0.94</v>
      </c>
      <c r="W80" s="40">
        <v>0.94</v>
      </c>
      <c r="X80" s="40">
        <v>0.94</v>
      </c>
      <c r="Y80" s="14"/>
      <c r="Z80" s="14"/>
      <c r="AA80" s="14"/>
      <c r="AB80" s="14"/>
      <c r="AC80" s="14"/>
      <c r="AD80" s="40"/>
      <c r="AE80" s="14"/>
      <c r="AF80" s="15"/>
    </row>
    <row r="81" spans="1:32" ht="15" x14ac:dyDescent="0.25">
      <c r="A81" s="6" t="s">
        <v>88</v>
      </c>
      <c r="B81" s="40"/>
      <c r="C81" s="40"/>
      <c r="D81" s="40"/>
      <c r="E81" s="40"/>
      <c r="F81" s="40"/>
      <c r="G81" s="40"/>
      <c r="H81" s="40"/>
      <c r="I81" s="14"/>
      <c r="J81" s="14"/>
      <c r="K81" s="40"/>
      <c r="L81" s="14"/>
      <c r="M81" s="14"/>
      <c r="N81" s="14"/>
      <c r="O81" s="14"/>
      <c r="P81" s="14"/>
      <c r="Q81" s="14"/>
      <c r="R81" s="40"/>
      <c r="S81" s="14"/>
      <c r="T81" s="14"/>
      <c r="U81" s="14"/>
      <c r="V81" s="40">
        <v>0.94</v>
      </c>
      <c r="W81" s="40">
        <v>0.94</v>
      </c>
      <c r="X81" s="40">
        <v>0</v>
      </c>
      <c r="Y81" s="14"/>
      <c r="Z81" s="14"/>
      <c r="AA81" s="14"/>
      <c r="AB81" s="14"/>
      <c r="AC81" s="14"/>
      <c r="AD81" s="40"/>
      <c r="AE81" s="14"/>
      <c r="AF81" s="15"/>
    </row>
    <row r="82" spans="1:32" ht="15" x14ac:dyDescent="0.25">
      <c r="A82" s="6" t="s">
        <v>89</v>
      </c>
      <c r="B82" s="40"/>
      <c r="C82" s="40"/>
      <c r="D82" s="40"/>
      <c r="E82" s="40"/>
      <c r="F82" s="40"/>
      <c r="G82" s="40"/>
      <c r="H82" s="40"/>
      <c r="I82" s="14"/>
      <c r="J82" s="14"/>
      <c r="K82" s="40"/>
      <c r="L82" s="14"/>
      <c r="M82" s="14"/>
      <c r="N82" s="14"/>
      <c r="O82" s="14"/>
      <c r="P82" s="14"/>
      <c r="Q82" s="14"/>
      <c r="R82" s="40"/>
      <c r="S82" s="14"/>
      <c r="T82" s="14"/>
      <c r="U82" s="14"/>
      <c r="V82" s="40">
        <v>0.94</v>
      </c>
      <c r="W82" s="40">
        <v>0.94</v>
      </c>
      <c r="X82" s="40">
        <v>0</v>
      </c>
      <c r="Y82" s="14"/>
      <c r="Z82" s="14"/>
      <c r="AA82" s="14"/>
      <c r="AB82" s="14"/>
      <c r="AC82" s="14"/>
      <c r="AD82" s="40"/>
      <c r="AE82" s="14"/>
      <c r="AF82" s="15"/>
    </row>
    <row r="83" spans="1:32" ht="15" x14ac:dyDescent="0.25">
      <c r="A83" s="6" t="s">
        <v>90</v>
      </c>
      <c r="B83" s="40"/>
      <c r="C83" s="40"/>
      <c r="D83" s="40"/>
      <c r="E83" s="40"/>
      <c r="F83" s="40"/>
      <c r="G83" s="40"/>
      <c r="H83" s="40"/>
      <c r="I83" s="14"/>
      <c r="J83" s="14"/>
      <c r="K83" s="40"/>
      <c r="L83" s="14"/>
      <c r="M83" s="14"/>
      <c r="N83" s="14"/>
      <c r="O83" s="14"/>
      <c r="P83" s="14"/>
      <c r="Q83" s="14"/>
      <c r="R83" s="40"/>
      <c r="S83" s="14"/>
      <c r="T83" s="14"/>
      <c r="U83" s="14"/>
      <c r="V83" s="40">
        <v>0.94</v>
      </c>
      <c r="W83" s="40">
        <v>0.94</v>
      </c>
      <c r="X83" s="40">
        <v>0</v>
      </c>
      <c r="Y83" s="14"/>
      <c r="Z83" s="14"/>
      <c r="AA83" s="14"/>
      <c r="AB83" s="14"/>
      <c r="AC83" s="14"/>
      <c r="AD83" s="40"/>
      <c r="AE83" s="14"/>
      <c r="AF83" s="15"/>
    </row>
    <row r="84" spans="1:32" ht="15" x14ac:dyDescent="0.25">
      <c r="A84" s="6" t="s">
        <v>91</v>
      </c>
      <c r="B84" s="40"/>
      <c r="C84" s="40"/>
      <c r="D84" s="40"/>
      <c r="E84" s="40"/>
      <c r="F84" s="40"/>
      <c r="G84" s="40"/>
      <c r="H84" s="40"/>
      <c r="I84" s="14"/>
      <c r="J84" s="14"/>
      <c r="K84" s="40"/>
      <c r="L84" s="14"/>
      <c r="M84" s="14"/>
      <c r="N84" s="14"/>
      <c r="O84" s="14"/>
      <c r="P84" s="14"/>
      <c r="Q84" s="14"/>
      <c r="R84" s="40"/>
      <c r="S84" s="14"/>
      <c r="T84" s="14"/>
      <c r="U84" s="14"/>
      <c r="V84" s="40">
        <v>0.94</v>
      </c>
      <c r="W84" s="40">
        <v>0.94</v>
      </c>
      <c r="X84" s="40">
        <v>0</v>
      </c>
      <c r="Y84" s="14"/>
      <c r="Z84" s="14"/>
      <c r="AA84" s="14"/>
      <c r="AB84" s="14"/>
      <c r="AC84" s="14"/>
      <c r="AD84" s="40"/>
      <c r="AE84" s="14"/>
      <c r="AF84" s="15"/>
    </row>
    <row r="85" spans="1:32" ht="15" x14ac:dyDescent="0.25">
      <c r="A85" s="6" t="s">
        <v>92</v>
      </c>
      <c r="B85" s="40"/>
      <c r="C85" s="40"/>
      <c r="D85" s="40"/>
      <c r="E85" s="40"/>
      <c r="F85" s="40"/>
      <c r="G85" s="40"/>
      <c r="H85" s="40"/>
      <c r="I85" s="14"/>
      <c r="J85" s="14"/>
      <c r="K85" s="40"/>
      <c r="L85" s="14"/>
      <c r="M85" s="14"/>
      <c r="N85" s="14"/>
      <c r="O85" s="14"/>
      <c r="P85" s="14"/>
      <c r="Q85" s="14"/>
      <c r="R85" s="40"/>
      <c r="S85" s="14"/>
      <c r="T85" s="14"/>
      <c r="U85" s="14"/>
      <c r="V85" s="40">
        <v>0.94</v>
      </c>
      <c r="W85" s="40">
        <v>0</v>
      </c>
      <c r="X85" s="40">
        <v>0</v>
      </c>
      <c r="Y85" s="14"/>
      <c r="Z85" s="14"/>
      <c r="AA85" s="14"/>
      <c r="AB85" s="14"/>
      <c r="AC85" s="14"/>
      <c r="AD85" s="40"/>
      <c r="AE85" s="14"/>
      <c r="AF85" s="15"/>
    </row>
    <row r="86" spans="1:32" ht="15" x14ac:dyDescent="0.25">
      <c r="A86" s="6" t="s">
        <v>93</v>
      </c>
      <c r="B86" s="40"/>
      <c r="C86" s="40"/>
      <c r="D86" s="40"/>
      <c r="E86" s="40"/>
      <c r="F86" s="40"/>
      <c r="G86" s="40"/>
      <c r="H86" s="40"/>
      <c r="I86" s="14"/>
      <c r="J86" s="14"/>
      <c r="K86" s="40"/>
      <c r="L86" s="14"/>
      <c r="M86" s="14"/>
      <c r="N86" s="14"/>
      <c r="O86" s="14"/>
      <c r="P86" s="14"/>
      <c r="Q86" s="14"/>
      <c r="R86" s="40"/>
      <c r="S86" s="14"/>
      <c r="T86" s="14"/>
      <c r="U86" s="14"/>
      <c r="V86" s="40">
        <v>0.94</v>
      </c>
      <c r="W86" s="40">
        <v>0</v>
      </c>
      <c r="X86" s="40">
        <v>0</v>
      </c>
      <c r="Y86" s="14"/>
      <c r="Z86" s="14"/>
      <c r="AA86" s="14"/>
      <c r="AB86" s="14"/>
      <c r="AC86" s="14"/>
      <c r="AD86" s="40"/>
      <c r="AE86" s="14"/>
      <c r="AF86" s="15"/>
    </row>
    <row r="87" spans="1:32" ht="15" x14ac:dyDescent="0.25">
      <c r="A87" s="6" t="s">
        <v>94</v>
      </c>
      <c r="B87" s="40"/>
      <c r="C87" s="40"/>
      <c r="D87" s="40"/>
      <c r="E87" s="40"/>
      <c r="F87" s="40"/>
      <c r="G87" s="40"/>
      <c r="H87" s="40"/>
      <c r="I87" s="14"/>
      <c r="J87" s="14"/>
      <c r="K87" s="40"/>
      <c r="L87" s="14"/>
      <c r="M87" s="14"/>
      <c r="N87" s="14"/>
      <c r="O87" s="14"/>
      <c r="P87" s="14"/>
      <c r="Q87" s="14"/>
      <c r="R87" s="40"/>
      <c r="S87" s="14"/>
      <c r="T87" s="14"/>
      <c r="U87" s="14"/>
      <c r="V87" s="40">
        <v>0.94</v>
      </c>
      <c r="W87" s="40">
        <v>0</v>
      </c>
      <c r="X87" s="40">
        <v>0</v>
      </c>
      <c r="Y87" s="14"/>
      <c r="Z87" s="14"/>
      <c r="AA87" s="14"/>
      <c r="AB87" s="14"/>
      <c r="AC87" s="14"/>
      <c r="AD87" s="40"/>
      <c r="AE87" s="14"/>
      <c r="AF87" s="15"/>
    </row>
    <row r="88" spans="1:32" ht="15" x14ac:dyDescent="0.25">
      <c r="A88" s="6" t="s">
        <v>95</v>
      </c>
      <c r="B88" s="40"/>
      <c r="C88" s="40"/>
      <c r="D88" s="40"/>
      <c r="E88" s="40"/>
      <c r="F88" s="40"/>
      <c r="G88" s="40"/>
      <c r="H88" s="40"/>
      <c r="I88" s="14"/>
      <c r="J88" s="14"/>
      <c r="K88" s="40"/>
      <c r="L88" s="14"/>
      <c r="M88" s="14"/>
      <c r="N88" s="14"/>
      <c r="O88" s="14"/>
      <c r="P88" s="14"/>
      <c r="Q88" s="14"/>
      <c r="R88" s="40"/>
      <c r="S88" s="14"/>
      <c r="T88" s="14"/>
      <c r="U88" s="14"/>
      <c r="V88" s="40">
        <v>0.94</v>
      </c>
      <c r="W88" s="40">
        <v>0</v>
      </c>
      <c r="X88" s="40">
        <v>0</v>
      </c>
      <c r="Y88" s="14"/>
      <c r="Z88" s="14"/>
      <c r="AA88" s="14"/>
      <c r="AB88" s="14"/>
      <c r="AC88" s="14"/>
      <c r="AD88" s="40"/>
      <c r="AE88" s="14"/>
      <c r="AF88" s="15"/>
    </row>
    <row r="89" spans="1:32" ht="15" x14ac:dyDescent="0.25">
      <c r="A89" s="6" t="s">
        <v>96</v>
      </c>
      <c r="B89" s="40"/>
      <c r="C89" s="40"/>
      <c r="D89" s="40"/>
      <c r="E89" s="40"/>
      <c r="F89" s="40"/>
      <c r="G89" s="40"/>
      <c r="H89" s="40"/>
      <c r="I89" s="14"/>
      <c r="J89" s="14"/>
      <c r="K89" s="40"/>
      <c r="L89" s="14"/>
      <c r="M89" s="14"/>
      <c r="N89" s="14"/>
      <c r="O89" s="14"/>
      <c r="P89" s="14"/>
      <c r="Q89" s="14"/>
      <c r="R89" s="40"/>
      <c r="S89" s="14"/>
      <c r="T89" s="14"/>
      <c r="U89" s="14"/>
      <c r="V89" s="40">
        <v>0.94</v>
      </c>
      <c r="W89" s="40">
        <v>0</v>
      </c>
      <c r="X89" s="40">
        <v>0</v>
      </c>
      <c r="Y89" s="14"/>
      <c r="Z89" s="14"/>
      <c r="AA89" s="14"/>
      <c r="AB89" s="14"/>
      <c r="AC89" s="14"/>
      <c r="AD89" s="40"/>
      <c r="AE89" s="14"/>
      <c r="AF89" s="15"/>
    </row>
    <row r="90" spans="1:32" ht="15" x14ac:dyDescent="0.25">
      <c r="A90" s="6" t="s">
        <v>97</v>
      </c>
      <c r="B90" s="40"/>
      <c r="C90" s="40"/>
      <c r="D90" s="40"/>
      <c r="E90" s="40"/>
      <c r="F90" s="40"/>
      <c r="G90" s="40"/>
      <c r="H90" s="40"/>
      <c r="I90" s="14"/>
      <c r="J90" s="14"/>
      <c r="K90" s="40"/>
      <c r="L90" s="14"/>
      <c r="M90" s="14"/>
      <c r="N90" s="14"/>
      <c r="O90" s="14"/>
      <c r="P90" s="14"/>
      <c r="Q90" s="14"/>
      <c r="R90" s="40"/>
      <c r="S90" s="14"/>
      <c r="T90" s="14"/>
      <c r="U90" s="14"/>
      <c r="V90" s="40">
        <v>0.94</v>
      </c>
      <c r="W90" s="40">
        <v>0</v>
      </c>
      <c r="X90" s="40">
        <v>0</v>
      </c>
      <c r="Y90" s="14"/>
      <c r="Z90" s="14"/>
      <c r="AA90" s="14"/>
      <c r="AB90" s="14"/>
      <c r="AC90" s="14"/>
      <c r="AD90" s="40"/>
      <c r="AE90" s="14"/>
      <c r="AF90" s="15"/>
    </row>
    <row r="91" spans="1:32" ht="15" x14ac:dyDescent="0.25">
      <c r="A91" s="6" t="s">
        <v>98</v>
      </c>
      <c r="B91" s="40"/>
      <c r="C91" s="40"/>
      <c r="D91" s="40"/>
      <c r="E91" s="40"/>
      <c r="F91" s="40"/>
      <c r="G91" s="40"/>
      <c r="H91" s="40"/>
      <c r="I91" s="14"/>
      <c r="J91" s="14"/>
      <c r="K91" s="40"/>
      <c r="L91" s="14"/>
      <c r="M91" s="14"/>
      <c r="N91" s="14"/>
      <c r="O91" s="14"/>
      <c r="P91" s="14"/>
      <c r="Q91" s="14"/>
      <c r="R91" s="40"/>
      <c r="S91" s="14"/>
      <c r="T91" s="14"/>
      <c r="U91" s="14"/>
      <c r="V91" s="40">
        <v>0</v>
      </c>
      <c r="W91" s="40">
        <v>0</v>
      </c>
      <c r="X91" s="40">
        <v>0</v>
      </c>
      <c r="Y91" s="14"/>
      <c r="Z91" s="14"/>
      <c r="AA91" s="14"/>
      <c r="AB91" s="14"/>
      <c r="AC91" s="14"/>
      <c r="AD91" s="40"/>
      <c r="AE91" s="14"/>
      <c r="AF91" s="15"/>
    </row>
    <row r="92" spans="1:32" ht="15" x14ac:dyDescent="0.25">
      <c r="A92" s="6" t="s">
        <v>99</v>
      </c>
      <c r="B92" s="40"/>
      <c r="C92" s="40"/>
      <c r="D92" s="40"/>
      <c r="E92" s="40"/>
      <c r="F92" s="40"/>
      <c r="G92" s="40"/>
      <c r="H92" s="40"/>
      <c r="I92" s="14"/>
      <c r="J92" s="14"/>
      <c r="K92" s="40"/>
      <c r="L92" s="14"/>
      <c r="M92" s="14"/>
      <c r="N92" s="14"/>
      <c r="O92" s="14"/>
      <c r="P92" s="14"/>
      <c r="Q92" s="14"/>
      <c r="R92" s="40"/>
      <c r="S92" s="14"/>
      <c r="T92" s="14"/>
      <c r="U92" s="14"/>
      <c r="V92" s="40">
        <v>0</v>
      </c>
      <c r="W92" s="40">
        <v>0</v>
      </c>
      <c r="X92" s="40">
        <v>0</v>
      </c>
      <c r="Y92" s="14"/>
      <c r="Z92" s="14"/>
      <c r="AA92" s="14"/>
      <c r="AB92" s="14"/>
      <c r="AC92" s="14"/>
      <c r="AD92" s="40"/>
      <c r="AE92" s="14"/>
      <c r="AF92" s="15"/>
    </row>
    <row r="93" spans="1:32" ht="15" x14ac:dyDescent="0.25">
      <c r="A93" s="6" t="s">
        <v>100</v>
      </c>
      <c r="B93" s="40"/>
      <c r="C93" s="40"/>
      <c r="D93" s="40"/>
      <c r="E93" s="40"/>
      <c r="F93" s="40"/>
      <c r="G93" s="40"/>
      <c r="H93" s="40"/>
      <c r="I93" s="14"/>
      <c r="J93" s="14"/>
      <c r="K93" s="40"/>
      <c r="L93" s="14"/>
      <c r="M93" s="14"/>
      <c r="N93" s="14"/>
      <c r="O93" s="14"/>
      <c r="P93" s="14"/>
      <c r="Q93" s="14"/>
      <c r="R93" s="40"/>
      <c r="S93" s="14"/>
      <c r="T93" s="14"/>
      <c r="U93" s="14"/>
      <c r="V93" s="40">
        <v>0</v>
      </c>
      <c r="W93" s="40">
        <v>0</v>
      </c>
      <c r="X93" s="40">
        <v>0</v>
      </c>
      <c r="Y93" s="14"/>
      <c r="Z93" s="14"/>
      <c r="AA93" s="14"/>
      <c r="AB93" s="14"/>
      <c r="AC93" s="14"/>
      <c r="AD93" s="40"/>
      <c r="AE93" s="14"/>
      <c r="AF93" s="15"/>
    </row>
    <row r="94" spans="1:32" ht="15" x14ac:dyDescent="0.25">
      <c r="A94" s="6" t="s">
        <v>101</v>
      </c>
      <c r="B94" s="40"/>
      <c r="C94" s="40"/>
      <c r="D94" s="40"/>
      <c r="E94" s="40"/>
      <c r="F94" s="40"/>
      <c r="G94" s="40"/>
      <c r="H94" s="40"/>
      <c r="I94" s="14"/>
      <c r="J94" s="14"/>
      <c r="K94" s="40"/>
      <c r="L94" s="14"/>
      <c r="M94" s="14"/>
      <c r="N94" s="14"/>
      <c r="O94" s="14"/>
      <c r="P94" s="14"/>
      <c r="Q94" s="14"/>
      <c r="R94" s="40"/>
      <c r="S94" s="14"/>
      <c r="T94" s="14"/>
      <c r="U94" s="14"/>
      <c r="V94" s="40">
        <v>0</v>
      </c>
      <c r="W94" s="40">
        <v>0</v>
      </c>
      <c r="X94" s="40">
        <v>0</v>
      </c>
      <c r="Y94" s="14"/>
      <c r="Z94" s="14"/>
      <c r="AA94" s="14"/>
      <c r="AB94" s="14"/>
      <c r="AC94" s="14"/>
      <c r="AD94" s="40"/>
      <c r="AE94" s="14"/>
      <c r="AF94" s="15"/>
    </row>
    <row r="95" spans="1:32" ht="15" x14ac:dyDescent="0.25">
      <c r="A95" s="6" t="s">
        <v>102</v>
      </c>
      <c r="B95" s="40"/>
      <c r="C95" s="40"/>
      <c r="D95" s="40"/>
      <c r="E95" s="40"/>
      <c r="F95" s="40"/>
      <c r="G95" s="40"/>
      <c r="H95" s="40"/>
      <c r="I95" s="14"/>
      <c r="J95" s="14"/>
      <c r="K95" s="40"/>
      <c r="L95" s="14"/>
      <c r="M95" s="14"/>
      <c r="N95" s="14"/>
      <c r="O95" s="14"/>
      <c r="P95" s="14"/>
      <c r="Q95" s="14"/>
      <c r="R95" s="40"/>
      <c r="S95" s="14"/>
      <c r="T95" s="14"/>
      <c r="U95" s="14"/>
      <c r="V95" s="40">
        <v>0</v>
      </c>
      <c r="W95" s="40">
        <v>0</v>
      </c>
      <c r="X95" s="40">
        <v>0</v>
      </c>
      <c r="Y95" s="14"/>
      <c r="Z95" s="14"/>
      <c r="AA95" s="14"/>
      <c r="AB95" s="14"/>
      <c r="AC95" s="14"/>
      <c r="AD95" s="40"/>
      <c r="AE95" s="14"/>
      <c r="AF95" s="15"/>
    </row>
    <row r="96" spans="1:32" ht="15" x14ac:dyDescent="0.25">
      <c r="A96" s="6" t="s">
        <v>103</v>
      </c>
      <c r="B96" s="40"/>
      <c r="C96" s="40"/>
      <c r="D96" s="40"/>
      <c r="E96" s="40"/>
      <c r="F96" s="40"/>
      <c r="G96" s="40"/>
      <c r="H96" s="40"/>
      <c r="I96" s="14"/>
      <c r="J96" s="14"/>
      <c r="K96" s="40"/>
      <c r="L96" s="14"/>
      <c r="M96" s="14"/>
      <c r="N96" s="14"/>
      <c r="O96" s="14"/>
      <c r="P96" s="14"/>
      <c r="Q96" s="14"/>
      <c r="R96" s="40"/>
      <c r="S96" s="14"/>
      <c r="T96" s="14"/>
      <c r="U96" s="14"/>
      <c r="V96" s="40">
        <v>0</v>
      </c>
      <c r="W96" s="40">
        <v>0</v>
      </c>
      <c r="X96" s="40">
        <v>0</v>
      </c>
      <c r="Y96" s="14"/>
      <c r="Z96" s="14"/>
      <c r="AA96" s="14"/>
      <c r="AB96" s="14"/>
      <c r="AC96" s="14"/>
      <c r="AD96" s="40"/>
      <c r="AE96" s="14"/>
      <c r="AF96" s="15"/>
    </row>
    <row r="97" spans="1:34" ht="15" x14ac:dyDescent="0.25">
      <c r="A97" s="6" t="s">
        <v>104</v>
      </c>
      <c r="B97" s="40"/>
      <c r="C97" s="40"/>
      <c r="D97" s="40"/>
      <c r="E97" s="40"/>
      <c r="F97" s="40"/>
      <c r="G97" s="40"/>
      <c r="H97" s="40"/>
      <c r="I97" s="14"/>
      <c r="J97" s="14"/>
      <c r="K97" s="40"/>
      <c r="L97" s="14"/>
      <c r="M97" s="14"/>
      <c r="N97" s="14"/>
      <c r="O97" s="14"/>
      <c r="P97" s="14"/>
      <c r="Q97" s="14"/>
      <c r="R97" s="40"/>
      <c r="S97" s="14"/>
      <c r="T97" s="14"/>
      <c r="U97" s="14"/>
      <c r="V97" s="40">
        <v>0</v>
      </c>
      <c r="W97" s="40">
        <v>0</v>
      </c>
      <c r="X97" s="40">
        <v>0</v>
      </c>
      <c r="Y97" s="14"/>
      <c r="Z97" s="14"/>
      <c r="AA97" s="14"/>
      <c r="AB97" s="14"/>
      <c r="AC97" s="14"/>
      <c r="AD97" s="40"/>
      <c r="AE97" s="14"/>
      <c r="AF97" s="15"/>
    </row>
    <row r="98" spans="1:34" ht="15" x14ac:dyDescent="0.25">
      <c r="A98" s="8" t="s">
        <v>105</v>
      </c>
      <c r="B98" s="40"/>
      <c r="C98" s="40"/>
      <c r="D98" s="40"/>
      <c r="E98" s="40"/>
      <c r="F98" s="40"/>
      <c r="G98" s="40"/>
      <c r="H98" s="40"/>
      <c r="I98" s="14"/>
      <c r="J98" s="14"/>
      <c r="K98" s="40"/>
      <c r="L98" s="14"/>
      <c r="M98" s="14"/>
      <c r="N98" s="14"/>
      <c r="O98" s="14"/>
      <c r="P98" s="14"/>
      <c r="Q98" s="14"/>
      <c r="R98" s="40"/>
      <c r="S98" s="14"/>
      <c r="T98" s="14"/>
      <c r="U98" s="14"/>
      <c r="V98" s="40">
        <v>0</v>
      </c>
      <c r="W98" s="40">
        <v>0</v>
      </c>
      <c r="X98" s="40">
        <v>0</v>
      </c>
      <c r="Y98" s="14"/>
      <c r="Z98" s="14"/>
      <c r="AA98" s="14"/>
      <c r="AB98" s="14"/>
      <c r="AC98" s="14"/>
      <c r="AD98" s="40"/>
      <c r="AE98" s="14"/>
      <c r="AF98" s="15"/>
    </row>
    <row r="99" spans="1:34" ht="15" x14ac:dyDescent="0.25">
      <c r="A99" s="9">
        <v>1</v>
      </c>
      <c r="B99" s="9">
        <v>2</v>
      </c>
      <c r="C99" s="9">
        <v>3</v>
      </c>
      <c r="D99" s="9">
        <v>4</v>
      </c>
      <c r="E99" s="9">
        <v>5</v>
      </c>
      <c r="F99" s="9">
        <v>6</v>
      </c>
      <c r="G99" s="9">
        <v>7</v>
      </c>
      <c r="H99" s="9">
        <v>8</v>
      </c>
      <c r="I99" s="9">
        <v>9</v>
      </c>
      <c r="J99" s="9">
        <v>10</v>
      </c>
      <c r="K99" s="9">
        <v>11</v>
      </c>
      <c r="L99" s="9">
        <v>12</v>
      </c>
      <c r="M99" s="9">
        <v>13</v>
      </c>
      <c r="N99" s="9">
        <v>14</v>
      </c>
      <c r="O99" s="9">
        <v>15</v>
      </c>
      <c r="P99" s="9">
        <v>16</v>
      </c>
      <c r="Q99" s="9">
        <v>17</v>
      </c>
      <c r="R99" s="9">
        <v>18</v>
      </c>
      <c r="S99" s="9">
        <v>19</v>
      </c>
      <c r="T99" s="9">
        <v>20</v>
      </c>
      <c r="U99" s="9">
        <v>21</v>
      </c>
      <c r="V99" s="9">
        <v>22</v>
      </c>
      <c r="W99" s="9">
        <v>23</v>
      </c>
      <c r="X99" s="9">
        <v>24</v>
      </c>
      <c r="Y99" s="9">
        <v>25</v>
      </c>
      <c r="Z99" s="12">
        <v>26</v>
      </c>
      <c r="AA99" s="12">
        <v>27</v>
      </c>
      <c r="AB99" s="9">
        <v>28</v>
      </c>
      <c r="AC99" s="9">
        <v>29</v>
      </c>
      <c r="AD99" s="9">
        <v>30</v>
      </c>
      <c r="AE99" s="16">
        <v>2.7625000000000002</v>
      </c>
      <c r="AF99" s="9">
        <v>32</v>
      </c>
    </row>
    <row r="100" spans="1:34" x14ac:dyDescent="0.25">
      <c r="A100" s="10" t="s">
        <v>1</v>
      </c>
      <c r="B100" s="11">
        <v>0</v>
      </c>
      <c r="C100" s="11">
        <f t="shared" ref="C100:N100" si="0">(SUM(C27:C42)*1000)/4</f>
        <v>0</v>
      </c>
      <c r="D100" s="11">
        <f t="shared" si="0"/>
        <v>0</v>
      </c>
      <c r="E100" s="11">
        <f t="shared" si="0"/>
        <v>0</v>
      </c>
      <c r="F100" s="11">
        <f t="shared" si="0"/>
        <v>0</v>
      </c>
      <c r="G100" s="11">
        <f t="shared" si="0"/>
        <v>0</v>
      </c>
      <c r="H100" s="11">
        <f t="shared" si="0"/>
        <v>0</v>
      </c>
      <c r="I100" s="11">
        <f t="shared" si="0"/>
        <v>0</v>
      </c>
      <c r="J100" s="11">
        <f t="shared" si="0"/>
        <v>0</v>
      </c>
      <c r="K100" s="11">
        <f t="shared" si="0"/>
        <v>0</v>
      </c>
      <c r="L100" s="11">
        <f t="shared" si="0"/>
        <v>0</v>
      </c>
      <c r="M100" s="11">
        <f t="shared" si="0"/>
        <v>0</v>
      </c>
      <c r="N100" s="11">
        <f t="shared" si="0"/>
        <v>0</v>
      </c>
      <c r="O100" s="11">
        <f>(SUM(O27:O42)*1000)/4</f>
        <v>0</v>
      </c>
      <c r="P100" s="11">
        <f>(SUM(P27:P42)*1000)/4</f>
        <v>0</v>
      </c>
      <c r="Q100" s="11">
        <f t="shared" ref="Q100:AF100" si="1">(SUM(Q27:Q42)*1000)/4</f>
        <v>0</v>
      </c>
      <c r="R100" s="11">
        <f t="shared" si="1"/>
        <v>0</v>
      </c>
      <c r="S100" s="11">
        <f t="shared" si="1"/>
        <v>0</v>
      </c>
      <c r="T100" s="11">
        <f t="shared" si="1"/>
        <v>0</v>
      </c>
      <c r="U100" s="11">
        <f t="shared" si="1"/>
        <v>0</v>
      </c>
      <c r="V100" s="11">
        <f t="shared" si="1"/>
        <v>3054.9999999999986</v>
      </c>
      <c r="W100" s="11">
        <f t="shared" si="1"/>
        <v>3289.9999999999986</v>
      </c>
      <c r="X100" s="11">
        <f t="shared" si="1"/>
        <v>3759.9999999999986</v>
      </c>
      <c r="Y100" s="11">
        <f t="shared" si="1"/>
        <v>0</v>
      </c>
      <c r="Z100" s="17">
        <f t="shared" si="1"/>
        <v>0</v>
      </c>
      <c r="AA100" s="17">
        <f t="shared" si="1"/>
        <v>0</v>
      </c>
      <c r="AB100" s="11">
        <f t="shared" si="1"/>
        <v>0</v>
      </c>
      <c r="AC100" s="11">
        <f>(SUM(AC27:AC42)*1000)/4</f>
        <v>0</v>
      </c>
      <c r="AD100" s="11">
        <f>(SUM(AD27:AD42)*1000)/4</f>
        <v>0</v>
      </c>
      <c r="AE100" s="11">
        <f t="shared" si="1"/>
        <v>0</v>
      </c>
      <c r="AF100" s="11">
        <f t="shared" si="1"/>
        <v>0</v>
      </c>
      <c r="AG100" s="11"/>
      <c r="AH100" s="11"/>
    </row>
    <row r="101" spans="1:34" x14ac:dyDescent="0.25">
      <c r="A101" s="10" t="s">
        <v>4</v>
      </c>
      <c r="B101" s="11">
        <f t="shared" ref="B101:N101" si="2">(SUM(B75:B90)*1000)/4</f>
        <v>0</v>
      </c>
      <c r="C101" s="11">
        <f t="shared" si="2"/>
        <v>0</v>
      </c>
      <c r="D101" s="11">
        <f t="shared" si="2"/>
        <v>0</v>
      </c>
      <c r="E101" s="11">
        <f t="shared" si="2"/>
        <v>0</v>
      </c>
      <c r="F101" s="11">
        <f t="shared" si="2"/>
        <v>0</v>
      </c>
      <c r="G101" s="11">
        <f t="shared" si="2"/>
        <v>0</v>
      </c>
      <c r="H101" s="11">
        <f t="shared" si="2"/>
        <v>0</v>
      </c>
      <c r="I101" s="11">
        <f t="shared" si="2"/>
        <v>0</v>
      </c>
      <c r="J101" s="11">
        <f t="shared" si="2"/>
        <v>0</v>
      </c>
      <c r="K101" s="11">
        <f t="shared" si="2"/>
        <v>0</v>
      </c>
      <c r="L101" s="11">
        <f t="shared" si="2"/>
        <v>0</v>
      </c>
      <c r="M101" s="11">
        <f t="shared" si="2"/>
        <v>0</v>
      </c>
      <c r="N101" s="11">
        <f t="shared" si="2"/>
        <v>0</v>
      </c>
      <c r="O101" s="11">
        <f>(SUM(O75:O90)*1000)/4</f>
        <v>0</v>
      </c>
      <c r="P101" s="11">
        <f>(SUM(P75:P90)*1000)/4</f>
        <v>0</v>
      </c>
      <c r="Q101" s="11">
        <f t="shared" ref="Q101:AF101" si="3">(SUM(Q75:Q90)*1000)/4</f>
        <v>0</v>
      </c>
      <c r="R101" s="11">
        <f t="shared" si="3"/>
        <v>0</v>
      </c>
      <c r="S101" s="11">
        <f t="shared" si="3"/>
        <v>0</v>
      </c>
      <c r="T101" s="11">
        <f t="shared" si="3"/>
        <v>0</v>
      </c>
      <c r="U101" s="11">
        <f t="shared" si="3"/>
        <v>0</v>
      </c>
      <c r="V101" s="11">
        <f t="shared" si="3"/>
        <v>3759.9999999999986</v>
      </c>
      <c r="W101" s="11">
        <f t="shared" si="3"/>
        <v>2349.9999999999991</v>
      </c>
      <c r="X101" s="11">
        <f t="shared" si="3"/>
        <v>1174.9999999999998</v>
      </c>
      <c r="Y101" s="11">
        <f t="shared" si="3"/>
        <v>0</v>
      </c>
      <c r="Z101" s="17">
        <f t="shared" si="3"/>
        <v>0</v>
      </c>
      <c r="AA101" s="17">
        <f t="shared" si="3"/>
        <v>0</v>
      </c>
      <c r="AB101" s="11">
        <f t="shared" si="3"/>
        <v>0</v>
      </c>
      <c r="AC101" s="11">
        <f>(SUM(AC75:AC90)*1000)/4</f>
        <v>0</v>
      </c>
      <c r="AD101" s="11">
        <f>(SUM(AD75:AD90)*1000)/4</f>
        <v>0</v>
      </c>
      <c r="AE101" s="11">
        <f t="shared" si="3"/>
        <v>0</v>
      </c>
      <c r="AF101" s="11">
        <f t="shared" si="3"/>
        <v>0</v>
      </c>
      <c r="AG101" s="11"/>
      <c r="AH101" s="11"/>
    </row>
    <row r="102" spans="1:34" x14ac:dyDescent="0.25">
      <c r="A102" s="10" t="s">
        <v>106</v>
      </c>
      <c r="B102" s="11">
        <f>0</f>
        <v>0</v>
      </c>
      <c r="C102" s="11">
        <f>0</f>
        <v>0</v>
      </c>
      <c r="D102" s="11">
        <f>0</f>
        <v>0</v>
      </c>
      <c r="E102" s="11">
        <f>0</f>
        <v>0</v>
      </c>
      <c r="F102" s="11">
        <f>0</f>
        <v>0</v>
      </c>
      <c r="G102" s="11">
        <f>0</f>
        <v>0</v>
      </c>
      <c r="H102" s="11">
        <f>0</f>
        <v>0</v>
      </c>
      <c r="I102" s="11">
        <f>0</f>
        <v>0</v>
      </c>
      <c r="J102" s="11">
        <f>0</f>
        <v>0</v>
      </c>
      <c r="K102" s="11">
        <f>0</f>
        <v>0</v>
      </c>
      <c r="L102" s="11">
        <f>0</f>
        <v>0</v>
      </c>
      <c r="M102" s="11">
        <f>0</f>
        <v>0</v>
      </c>
      <c r="N102" s="11">
        <f>0</f>
        <v>0</v>
      </c>
      <c r="O102" s="11">
        <f>0</f>
        <v>0</v>
      </c>
      <c r="P102" s="11">
        <f>0</f>
        <v>0</v>
      </c>
      <c r="Q102" s="11">
        <f>0</f>
        <v>0</v>
      </c>
      <c r="R102" s="11">
        <f>0</f>
        <v>0</v>
      </c>
      <c r="S102" s="11">
        <f>0</f>
        <v>0</v>
      </c>
      <c r="T102" s="11">
        <f>0</f>
        <v>0</v>
      </c>
      <c r="U102" s="11">
        <f>0</f>
        <v>0</v>
      </c>
      <c r="V102" s="11">
        <f>0</f>
        <v>0</v>
      </c>
      <c r="W102" s="11">
        <f>0</f>
        <v>0</v>
      </c>
      <c r="X102" s="11">
        <f>0</f>
        <v>0</v>
      </c>
      <c r="Y102" s="11">
        <f>0</f>
        <v>0</v>
      </c>
      <c r="Z102" s="17">
        <f>0</f>
        <v>0</v>
      </c>
      <c r="AA102" s="17">
        <f>0</f>
        <v>0</v>
      </c>
      <c r="AB102" s="11">
        <f>0</f>
        <v>0</v>
      </c>
      <c r="AC102" s="11">
        <f>0</f>
        <v>0</v>
      </c>
      <c r="AD102" s="11">
        <f>0</f>
        <v>0</v>
      </c>
      <c r="AE102" s="11">
        <f>0</f>
        <v>0</v>
      </c>
      <c r="AF102" s="11">
        <f>0</f>
        <v>0</v>
      </c>
      <c r="AG102" s="11"/>
      <c r="AH102" s="11"/>
    </row>
    <row r="103" spans="1:34" x14ac:dyDescent="0.25">
      <c r="A103" s="10" t="s">
        <v>2</v>
      </c>
      <c r="B103" s="11">
        <f t="shared" ref="B103:N103" si="4">((SUM(B23:B26)+SUM(B43:B74))*1000)/4</f>
        <v>0</v>
      </c>
      <c r="C103" s="11">
        <f t="shared" si="4"/>
        <v>0</v>
      </c>
      <c r="D103" s="11">
        <f t="shared" si="4"/>
        <v>0</v>
      </c>
      <c r="E103" s="11">
        <f t="shared" si="4"/>
        <v>0</v>
      </c>
      <c r="F103" s="11">
        <f t="shared" si="4"/>
        <v>0</v>
      </c>
      <c r="G103" s="11">
        <f t="shared" si="4"/>
        <v>0</v>
      </c>
      <c r="H103" s="11">
        <f t="shared" si="4"/>
        <v>0</v>
      </c>
      <c r="I103" s="11">
        <f t="shared" si="4"/>
        <v>0</v>
      </c>
      <c r="J103" s="11">
        <f t="shared" si="4"/>
        <v>0</v>
      </c>
      <c r="K103" s="11">
        <f t="shared" si="4"/>
        <v>0</v>
      </c>
      <c r="L103" s="11">
        <f t="shared" si="4"/>
        <v>0</v>
      </c>
      <c r="M103" s="11">
        <f t="shared" si="4"/>
        <v>0</v>
      </c>
      <c r="N103" s="11">
        <f t="shared" si="4"/>
        <v>0</v>
      </c>
      <c r="O103" s="11">
        <f>((SUM(O23:O26)+SUM(O43:O74))*1000)/4</f>
        <v>0</v>
      </c>
      <c r="P103" s="11">
        <f>((SUM(P23:P26)+SUM(P43:P74))*1000)/4</f>
        <v>0</v>
      </c>
      <c r="Q103" s="11">
        <f t="shared" ref="Q103:AF103" si="5">((SUM(Q23:Q26)+SUM(Q43:Q74))*1000)/4</f>
        <v>0</v>
      </c>
      <c r="R103" s="11">
        <f t="shared" si="5"/>
        <v>0</v>
      </c>
      <c r="S103" s="11">
        <f t="shared" si="5"/>
        <v>0</v>
      </c>
      <c r="T103" s="11">
        <f t="shared" si="5"/>
        <v>0</v>
      </c>
      <c r="U103" s="11">
        <f t="shared" si="5"/>
        <v>0</v>
      </c>
      <c r="V103" s="11">
        <f t="shared" si="5"/>
        <v>7285.0000000000027</v>
      </c>
      <c r="W103" s="11">
        <f t="shared" si="5"/>
        <v>7520.0000000000027</v>
      </c>
      <c r="X103" s="11">
        <f t="shared" si="5"/>
        <v>7520.0000000000027</v>
      </c>
      <c r="Y103" s="11">
        <f t="shared" si="5"/>
        <v>0</v>
      </c>
      <c r="Z103" s="17">
        <f t="shared" si="5"/>
        <v>0</v>
      </c>
      <c r="AA103" s="17">
        <f t="shared" si="5"/>
        <v>0</v>
      </c>
      <c r="AB103" s="11">
        <f t="shared" si="5"/>
        <v>0</v>
      </c>
      <c r="AC103" s="11">
        <f>((SUM(AC23:AC26)+SUM(AC43:AC74))*1000)/4</f>
        <v>0</v>
      </c>
      <c r="AD103" s="11">
        <f>((SUM(AD23:AD26)+SUM(AD43:AD74))*1000)/4</f>
        <v>0</v>
      </c>
      <c r="AE103" s="11">
        <f t="shared" si="5"/>
        <v>0</v>
      </c>
      <c r="AF103" s="11">
        <f t="shared" si="5"/>
        <v>0</v>
      </c>
      <c r="AG103" s="11"/>
      <c r="AH103" s="11"/>
    </row>
    <row r="104" spans="1:34" x14ac:dyDescent="0.25">
      <c r="A104" s="10" t="s">
        <v>107</v>
      </c>
      <c r="B104" s="11">
        <f t="shared" ref="B104:N104" si="6">(SUM(B91:B98)*1000)/4</f>
        <v>0</v>
      </c>
      <c r="C104" s="11">
        <f t="shared" si="6"/>
        <v>0</v>
      </c>
      <c r="D104" s="11">
        <f t="shared" si="6"/>
        <v>0</v>
      </c>
      <c r="E104" s="11">
        <f t="shared" si="6"/>
        <v>0</v>
      </c>
      <c r="F104" s="11">
        <f t="shared" si="6"/>
        <v>0</v>
      </c>
      <c r="G104" s="11">
        <f t="shared" si="6"/>
        <v>0</v>
      </c>
      <c r="H104" s="11">
        <f t="shared" si="6"/>
        <v>0</v>
      </c>
      <c r="I104" s="11">
        <f t="shared" si="6"/>
        <v>0</v>
      </c>
      <c r="J104" s="11">
        <f t="shared" si="6"/>
        <v>0</v>
      </c>
      <c r="K104" s="11">
        <f t="shared" si="6"/>
        <v>0</v>
      </c>
      <c r="L104" s="11">
        <f t="shared" si="6"/>
        <v>0</v>
      </c>
      <c r="M104" s="11">
        <f t="shared" si="6"/>
        <v>0</v>
      </c>
      <c r="N104" s="11">
        <f t="shared" si="6"/>
        <v>0</v>
      </c>
      <c r="O104" s="11">
        <f>(SUM(O91:O98)*1000)/4</f>
        <v>0</v>
      </c>
      <c r="P104" s="11">
        <f>(SUM(P91:P98)*1000)/4</f>
        <v>0</v>
      </c>
      <c r="Q104" s="11">
        <f t="shared" ref="Q104:AF104" si="7">(SUM(Q91:Q98)*1000)/4</f>
        <v>0</v>
      </c>
      <c r="R104" s="11">
        <f t="shared" si="7"/>
        <v>0</v>
      </c>
      <c r="S104" s="11">
        <f t="shared" si="7"/>
        <v>0</v>
      </c>
      <c r="T104" s="11">
        <f t="shared" si="7"/>
        <v>0</v>
      </c>
      <c r="U104" s="11">
        <f t="shared" si="7"/>
        <v>0</v>
      </c>
      <c r="V104" s="11">
        <f t="shared" si="7"/>
        <v>0</v>
      </c>
      <c r="W104" s="11">
        <f t="shared" si="7"/>
        <v>0</v>
      </c>
      <c r="X104" s="11">
        <f t="shared" si="7"/>
        <v>0</v>
      </c>
      <c r="Y104" s="11">
        <f t="shared" si="7"/>
        <v>0</v>
      </c>
      <c r="Z104" s="17">
        <f t="shared" si="7"/>
        <v>0</v>
      </c>
      <c r="AA104" s="17">
        <f t="shared" si="7"/>
        <v>0</v>
      </c>
      <c r="AB104" s="11">
        <f t="shared" si="7"/>
        <v>0</v>
      </c>
      <c r="AC104" s="11">
        <f>(SUM(AC91:AC98)*1000)/4</f>
        <v>0</v>
      </c>
      <c r="AD104" s="11">
        <f>(SUM(AD91:AD98)*1000)/4</f>
        <v>0</v>
      </c>
      <c r="AE104" s="11">
        <f t="shared" si="7"/>
        <v>0</v>
      </c>
      <c r="AF104" s="11">
        <f t="shared" si="7"/>
        <v>0</v>
      </c>
      <c r="AG104" s="11"/>
      <c r="AH104" s="11"/>
    </row>
    <row r="105" spans="1:34" x14ac:dyDescent="0.25">
      <c r="A105" s="10" t="s">
        <v>108</v>
      </c>
      <c r="B105" s="11">
        <f t="shared" ref="B105:N105" si="8">SUM(B3:B22)*1000/4</f>
        <v>0</v>
      </c>
      <c r="C105" s="11">
        <f t="shared" si="8"/>
        <v>0</v>
      </c>
      <c r="D105" s="11">
        <f t="shared" si="8"/>
        <v>0</v>
      </c>
      <c r="E105" s="11">
        <f t="shared" si="8"/>
        <v>0</v>
      </c>
      <c r="F105" s="11">
        <f t="shared" si="8"/>
        <v>0</v>
      </c>
      <c r="G105" s="11">
        <f t="shared" si="8"/>
        <v>0</v>
      </c>
      <c r="H105" s="11">
        <f t="shared" si="8"/>
        <v>0</v>
      </c>
      <c r="I105" s="11">
        <f t="shared" si="8"/>
        <v>0</v>
      </c>
      <c r="J105" s="11">
        <f t="shared" si="8"/>
        <v>0</v>
      </c>
      <c r="K105" s="11">
        <f t="shared" si="8"/>
        <v>0</v>
      </c>
      <c r="L105" s="11">
        <f t="shared" si="8"/>
        <v>0</v>
      </c>
      <c r="M105" s="11">
        <f t="shared" si="8"/>
        <v>0</v>
      </c>
      <c r="N105" s="11">
        <f t="shared" si="8"/>
        <v>0</v>
      </c>
      <c r="O105" s="11">
        <f>SUM(O3:O22)*1000/4</f>
        <v>0</v>
      </c>
      <c r="P105" s="11">
        <f>SUM(P3:P22)*1000/4</f>
        <v>0</v>
      </c>
      <c r="Q105" s="11">
        <f t="shared" ref="Q105:AF105" si="9">SUM(Q3:Q22)*1000/4</f>
        <v>0</v>
      </c>
      <c r="R105" s="11">
        <f t="shared" si="9"/>
        <v>0</v>
      </c>
      <c r="S105" s="11">
        <f t="shared" si="9"/>
        <v>0</v>
      </c>
      <c r="T105" s="11">
        <f t="shared" si="9"/>
        <v>0</v>
      </c>
      <c r="U105" s="11">
        <f t="shared" si="9"/>
        <v>0</v>
      </c>
      <c r="V105" s="11">
        <f t="shared" si="9"/>
        <v>0</v>
      </c>
      <c r="W105" s="11">
        <f t="shared" si="9"/>
        <v>0</v>
      </c>
      <c r="X105" s="11">
        <f t="shared" si="9"/>
        <v>330</v>
      </c>
      <c r="Y105" s="11">
        <f t="shared" si="9"/>
        <v>0</v>
      </c>
      <c r="Z105" s="17">
        <f t="shared" si="9"/>
        <v>0</v>
      </c>
      <c r="AA105" s="17">
        <f t="shared" si="9"/>
        <v>0</v>
      </c>
      <c r="AB105" s="11">
        <f t="shared" si="9"/>
        <v>0</v>
      </c>
      <c r="AC105" s="11">
        <f>SUM(AC3:AC22)*1000/4</f>
        <v>0</v>
      </c>
      <c r="AD105" s="11">
        <f>SUM(AD3:AD22)*1000/4</f>
        <v>0</v>
      </c>
      <c r="AE105" s="11">
        <f t="shared" si="9"/>
        <v>0</v>
      </c>
      <c r="AF105" s="11">
        <f t="shared" si="9"/>
        <v>0</v>
      </c>
      <c r="AG105" s="11"/>
      <c r="AH105" s="11"/>
    </row>
    <row r="106" spans="1:34" x14ac:dyDescent="0.25">
      <c r="A106" s="10" t="s">
        <v>109</v>
      </c>
      <c r="B106" s="11">
        <f>SUM(B100:B105)</f>
        <v>0</v>
      </c>
      <c r="C106" s="11">
        <f t="shared" ref="C106:AB106" si="10">SUM(C100:C105)</f>
        <v>0</v>
      </c>
      <c r="D106" s="11">
        <f t="shared" si="10"/>
        <v>0</v>
      </c>
      <c r="E106" s="11">
        <f t="shared" si="10"/>
        <v>0</v>
      </c>
      <c r="F106" s="11">
        <f t="shared" si="10"/>
        <v>0</v>
      </c>
      <c r="G106" s="11">
        <f t="shared" si="10"/>
        <v>0</v>
      </c>
      <c r="H106" s="11">
        <f t="shared" si="10"/>
        <v>0</v>
      </c>
      <c r="I106" s="11">
        <f t="shared" si="10"/>
        <v>0</v>
      </c>
      <c r="J106" s="11">
        <f t="shared" si="10"/>
        <v>0</v>
      </c>
      <c r="K106" s="11">
        <f t="shared" si="10"/>
        <v>0</v>
      </c>
      <c r="L106" s="11">
        <f t="shared" si="10"/>
        <v>0</v>
      </c>
      <c r="M106" s="11">
        <f t="shared" si="10"/>
        <v>0</v>
      </c>
      <c r="N106" s="11">
        <f t="shared" si="10"/>
        <v>0</v>
      </c>
      <c r="O106" s="11">
        <f>SUM(O100:O105)</f>
        <v>0</v>
      </c>
      <c r="P106" s="11">
        <f>SUM(P100:P105)</f>
        <v>0</v>
      </c>
      <c r="Q106" s="11">
        <f t="shared" si="10"/>
        <v>0</v>
      </c>
      <c r="R106" s="11">
        <f t="shared" si="10"/>
        <v>0</v>
      </c>
      <c r="S106" s="11">
        <f t="shared" si="10"/>
        <v>0</v>
      </c>
      <c r="T106" s="11">
        <f t="shared" si="10"/>
        <v>0</v>
      </c>
      <c r="U106" s="11">
        <f t="shared" si="10"/>
        <v>0</v>
      </c>
      <c r="V106" s="11">
        <f t="shared" si="10"/>
        <v>14100</v>
      </c>
      <c r="W106" s="11">
        <f t="shared" si="10"/>
        <v>13160</v>
      </c>
      <c r="X106" s="11">
        <f t="shared" si="10"/>
        <v>12785</v>
      </c>
      <c r="Y106" s="11">
        <f t="shared" si="10"/>
        <v>0</v>
      </c>
      <c r="Z106" s="17">
        <f t="shared" si="10"/>
        <v>0</v>
      </c>
      <c r="AA106" s="17">
        <f t="shared" si="10"/>
        <v>0</v>
      </c>
      <c r="AB106" s="11">
        <f t="shared" si="10"/>
        <v>0</v>
      </c>
      <c r="AC106" s="11">
        <f>SUM(AC100:AC105)</f>
        <v>0</v>
      </c>
      <c r="AD106" s="11">
        <f>SUM(AD100:AD105)</f>
        <v>0</v>
      </c>
      <c r="AE106" s="11">
        <f>SUM(AE100:AE105)</f>
        <v>0</v>
      </c>
      <c r="AF106" s="11">
        <f>SUM(AF100:AF105)</f>
        <v>0</v>
      </c>
      <c r="AG106" s="11"/>
      <c r="AH106" s="11"/>
    </row>
    <row r="107" spans="1:34" x14ac:dyDescent="0.25">
      <c r="A107" s="10"/>
      <c r="Z107" s="12"/>
      <c r="AA107" s="12"/>
    </row>
    <row r="108" spans="1:34" x14ac:dyDescent="0.25">
      <c r="A108" s="10"/>
      <c r="Z108" s="12"/>
      <c r="AA108" s="12"/>
    </row>
  </sheetData>
  <pageMargins left="0.7" right="0.7" top="0.75" bottom="0.75" header="0.3" footer="0.3"/>
  <ignoredErrors>
    <ignoredError sqref="B104:X10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AFAD-A5ED-42A9-A2F8-9E036A9F40D8}">
  <dimension ref="A1:AN44"/>
  <sheetViews>
    <sheetView topLeftCell="A9" workbookViewId="0">
      <selection activeCell="U36" sqref="U36"/>
    </sheetView>
  </sheetViews>
  <sheetFormatPr defaultRowHeight="12.75" x14ac:dyDescent="0.25"/>
  <cols>
    <col min="1" max="1" width="10.7109375" customWidth="1"/>
    <col min="3" max="3" width="10.5703125" bestFit="1" customWidth="1"/>
    <col min="4" max="4" width="11.5703125" customWidth="1"/>
    <col min="7" max="7" width="10.85546875" customWidth="1"/>
    <col min="18" max="18" width="11" customWidth="1"/>
    <col min="21" max="21" width="10.42578125" customWidth="1"/>
  </cols>
  <sheetData>
    <row r="1" spans="1:40" ht="18" x14ac:dyDescent="0.25">
      <c r="A1" s="18" t="s">
        <v>120</v>
      </c>
      <c r="B1" s="19"/>
      <c r="T1" s="20"/>
    </row>
    <row r="2" spans="1:40" ht="13.5" x14ac:dyDescent="0.25">
      <c r="A2" s="21" t="s">
        <v>110</v>
      </c>
      <c r="B2" s="19"/>
      <c r="Q2" s="22"/>
      <c r="T2" s="20"/>
    </row>
    <row r="3" spans="1:40" x14ac:dyDescent="0.25">
      <c r="B3" s="19"/>
      <c r="T3" s="20"/>
    </row>
    <row r="4" spans="1:40" x14ac:dyDescent="0.25">
      <c r="A4" t="s">
        <v>111</v>
      </c>
      <c r="B4" s="19"/>
      <c r="E4" s="23"/>
      <c r="H4" s="23"/>
      <c r="T4" s="20"/>
    </row>
    <row r="5" spans="1:40" ht="13.5" x14ac:dyDescent="0.25">
      <c r="A5" s="23"/>
      <c r="B5" s="19"/>
      <c r="C5" s="24"/>
      <c r="D5" s="25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40" ht="13.5" x14ac:dyDescent="0.25">
      <c r="B6" s="19"/>
      <c r="C6" s="26" t="s">
        <v>112</v>
      </c>
      <c r="D6" s="27">
        <f ca="1">(($A8-$A12)*24)+5</f>
        <v>557</v>
      </c>
      <c r="E6" s="10"/>
      <c r="F6" s="28"/>
      <c r="I6" s="26" t="s">
        <v>112</v>
      </c>
      <c r="J6" s="26">
        <f ca="1">(($A8-$A12)*3)</f>
        <v>69</v>
      </c>
      <c r="L6" s="26" t="s">
        <v>112</v>
      </c>
      <c r="M6" s="26">
        <f ca="1">(($A8-$A12)*3)</f>
        <v>69</v>
      </c>
      <c r="O6" s="26" t="s">
        <v>112</v>
      </c>
      <c r="P6" s="26">
        <f ca="1">(($A8-$A12)*1)</f>
        <v>23</v>
      </c>
      <c r="Q6" s="22">
        <v>0.25</v>
      </c>
      <c r="R6" s="26" t="s">
        <v>112</v>
      </c>
      <c r="S6" s="26">
        <f ca="1">(($A8-$A12)*10)</f>
        <v>230</v>
      </c>
      <c r="T6" s="20"/>
      <c r="U6" s="26" t="s">
        <v>112</v>
      </c>
      <c r="V6" s="26">
        <f ca="1">(($A8-$A12)*7)+5</f>
        <v>166</v>
      </c>
    </row>
    <row r="7" spans="1:40" ht="13.5" x14ac:dyDescent="0.25">
      <c r="B7" s="29" t="s">
        <v>113</v>
      </c>
      <c r="C7" s="26" t="s">
        <v>114</v>
      </c>
      <c r="D7" s="30">
        <f ca="1">(SUM(C12:C40)/D6)/1000</f>
        <v>2.2698384201077175</v>
      </c>
      <c r="H7" s="22">
        <v>0.25</v>
      </c>
      <c r="I7" s="26" t="s">
        <v>114</v>
      </c>
      <c r="J7" s="30">
        <f ca="1">(SUM(I12:I40)/J6)/1000</f>
        <v>3.0608695652173918</v>
      </c>
      <c r="K7" s="22">
        <v>0.75</v>
      </c>
      <c r="L7" s="26" t="s">
        <v>114</v>
      </c>
      <c r="M7" s="30">
        <f ca="1">(SUM(L12:L40)/M6)/1000</f>
        <v>3.0550724637681057</v>
      </c>
      <c r="N7" s="22">
        <v>0.875</v>
      </c>
      <c r="O7" s="26" t="s">
        <v>114</v>
      </c>
      <c r="P7" s="30">
        <f ca="1">(SUM(O12:O40)/P6)/1000</f>
        <v>0</v>
      </c>
      <c r="Q7" s="22">
        <v>0.375</v>
      </c>
      <c r="R7" s="26" t="s">
        <v>114</v>
      </c>
      <c r="S7" s="30">
        <f ca="1">(SUM(R12:R40)/S6)/1000</f>
        <v>2.0352173913043456</v>
      </c>
      <c r="T7" s="22">
        <v>0.91666666666666663</v>
      </c>
      <c r="U7" s="26" t="s">
        <v>114</v>
      </c>
      <c r="V7" s="30">
        <f ca="1">(SUM(U12:U40)/V6)/1000</f>
        <v>2.2554216867469772</v>
      </c>
    </row>
    <row r="8" spans="1:40" ht="13.5" x14ac:dyDescent="0.25">
      <c r="A8" s="31">
        <f ca="1">TODAY()-1</f>
        <v>46196</v>
      </c>
      <c r="B8" s="29" t="s">
        <v>115</v>
      </c>
      <c r="C8" s="26" t="s">
        <v>114</v>
      </c>
      <c r="D8" s="30">
        <f ca="1">(VLOOKUP(A8,A12:V40,3))/24/1000</f>
        <v>2.3333333333331061</v>
      </c>
      <c r="H8" s="22">
        <v>0.375</v>
      </c>
      <c r="I8" s="26" t="s">
        <v>114</v>
      </c>
      <c r="J8" s="30">
        <f ca="1">((VLOOKUP(A8,A12:V40,9))/3/1000)</f>
        <v>3.0666666666669093</v>
      </c>
      <c r="K8" s="22">
        <v>0.875</v>
      </c>
      <c r="L8" s="26" t="s">
        <v>114</v>
      </c>
      <c r="M8" s="30">
        <f ca="1">(VLOOKUP(A8,A12:V40,12)/3)/1000</f>
        <v>3.1333333333331361</v>
      </c>
      <c r="N8" s="22">
        <v>0.91666666666666663</v>
      </c>
      <c r="O8" s="26" t="s">
        <v>114</v>
      </c>
      <c r="P8" s="30">
        <f ca="1">(VLOOKUP(A8,A12:V40,15)/1)/1000</f>
        <v>0</v>
      </c>
      <c r="Q8" s="22">
        <v>0.75</v>
      </c>
      <c r="R8" s="26" t="s">
        <v>114</v>
      </c>
      <c r="S8" s="30">
        <f ca="1">(VLOOKUP(A8,A12:V40,18)/10)/1000</f>
        <v>2.1599999999998545</v>
      </c>
      <c r="T8" s="22">
        <v>0.20833333333333334</v>
      </c>
      <c r="U8" s="26" t="s">
        <v>114</v>
      </c>
      <c r="V8" s="30">
        <f ca="1">(VLOOKUP(A8,A12:V40,21)/7)/1000</f>
        <v>2.2714285714284546</v>
      </c>
    </row>
    <row r="9" spans="1:40" x14ac:dyDescent="0.25">
      <c r="A9" s="32" t="s">
        <v>0</v>
      </c>
      <c r="B9" s="32" t="s">
        <v>116</v>
      </c>
      <c r="C9" s="32" t="s">
        <v>115</v>
      </c>
      <c r="D9" s="32" t="s">
        <v>113</v>
      </c>
      <c r="E9" s="32" t="s">
        <v>117</v>
      </c>
      <c r="F9" s="32" t="s">
        <v>115</v>
      </c>
      <c r="G9" s="32" t="s">
        <v>113</v>
      </c>
      <c r="H9" s="32" t="s">
        <v>1</v>
      </c>
      <c r="I9" s="32" t="s">
        <v>115</v>
      </c>
      <c r="J9" s="32" t="s">
        <v>113</v>
      </c>
      <c r="K9" s="32" t="s">
        <v>4</v>
      </c>
      <c r="L9" s="32" t="s">
        <v>115</v>
      </c>
      <c r="M9" s="32" t="s">
        <v>113</v>
      </c>
      <c r="N9" s="32" t="s">
        <v>106</v>
      </c>
      <c r="O9" s="32" t="s">
        <v>115</v>
      </c>
      <c r="P9" s="32" t="s">
        <v>113</v>
      </c>
      <c r="Q9" s="32" t="s">
        <v>2</v>
      </c>
      <c r="R9" s="32" t="s">
        <v>115</v>
      </c>
      <c r="S9" s="32" t="s">
        <v>113</v>
      </c>
      <c r="T9" s="33" t="s">
        <v>5</v>
      </c>
      <c r="U9" s="32" t="s">
        <v>115</v>
      </c>
      <c r="V9" s="32" t="s">
        <v>113</v>
      </c>
    </row>
    <row r="10" spans="1:40" x14ac:dyDescent="0.25">
      <c r="B10" s="19"/>
      <c r="F10" s="20"/>
    </row>
    <row r="11" spans="1:40" ht="13.5" x14ac:dyDescent="0.25">
      <c r="A11" s="34"/>
      <c r="B11" s="35">
        <v>3987.97</v>
      </c>
      <c r="C11" s="34"/>
      <c r="D11" s="34"/>
      <c r="E11" s="36">
        <v>4118.09</v>
      </c>
      <c r="F11" s="34"/>
      <c r="G11" s="34"/>
      <c r="H11" s="35">
        <v>653.34</v>
      </c>
      <c r="I11" s="34"/>
      <c r="J11" s="34"/>
      <c r="K11" s="35">
        <v>676.71</v>
      </c>
      <c r="L11" s="34"/>
      <c r="M11" s="34"/>
      <c r="N11" s="35">
        <v>0</v>
      </c>
      <c r="O11" s="34"/>
      <c r="P11" s="34"/>
      <c r="Q11" s="35">
        <v>1488.52</v>
      </c>
      <c r="R11" s="34"/>
      <c r="S11" s="34"/>
      <c r="T11" s="35">
        <v>1169.3800000000001</v>
      </c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</row>
    <row r="12" spans="1:40" ht="13.5" x14ac:dyDescent="0.25">
      <c r="A12" s="31">
        <v>46173</v>
      </c>
      <c r="B12" s="37">
        <v>3989.29</v>
      </c>
      <c r="C12" s="24">
        <f>(B12-B11)*10000</f>
        <v>13200.000000001637</v>
      </c>
      <c r="D12" s="24">
        <f>(D11+C12)</f>
        <v>13200.000000001637</v>
      </c>
      <c r="E12" s="37">
        <v>4119.47</v>
      </c>
      <c r="F12" s="24">
        <f>(E12-E11)*10000</f>
        <v>13800.000000001091</v>
      </c>
      <c r="G12" s="24">
        <f t="shared" ref="G12:G15" si="0">(G11+F12)</f>
        <v>13800.000000001091</v>
      </c>
      <c r="H12" s="37">
        <v>653.34</v>
      </c>
      <c r="I12" s="24">
        <f>(H12-H11)*10000</f>
        <v>0</v>
      </c>
      <c r="J12" s="24">
        <f t="shared" ref="J12:J15" si="1">(J11+I12)</f>
        <v>0</v>
      </c>
      <c r="K12" s="37">
        <v>676.71</v>
      </c>
      <c r="L12" s="24">
        <f>(K12-K11)*10000</f>
        <v>0</v>
      </c>
      <c r="M12" s="24">
        <f t="shared" ref="M12:M15" si="2">(M11+L12)</f>
        <v>0</v>
      </c>
      <c r="N12" s="37">
        <v>0</v>
      </c>
      <c r="O12" s="24">
        <f>(N12-N11)*10000</f>
        <v>0</v>
      </c>
      <c r="P12" s="24">
        <f t="shared" ref="P12:P15" si="3">(P11+O12)</f>
        <v>0</v>
      </c>
      <c r="Q12" s="37">
        <v>1488.64</v>
      </c>
      <c r="R12" s="24">
        <f>(Q12-Q11)*10000</f>
        <v>1200.0000000011823</v>
      </c>
      <c r="S12" s="24">
        <f t="shared" ref="S12:S15" si="4">(S11+R12)</f>
        <v>1200.0000000011823</v>
      </c>
      <c r="T12" s="37">
        <v>1170.58</v>
      </c>
      <c r="U12" s="24">
        <f>(T12-T11)*10000</f>
        <v>11999.999999998181</v>
      </c>
      <c r="V12" s="24">
        <f t="shared" ref="V12:V15" si="5">(V11+U12)</f>
        <v>11999.999999998181</v>
      </c>
    </row>
    <row r="13" spans="1:40" ht="13.5" x14ac:dyDescent="0.25">
      <c r="A13" s="31">
        <v>46174</v>
      </c>
      <c r="B13" s="37">
        <v>3995.19</v>
      </c>
      <c r="C13" s="24">
        <f>(B13-B12)*10000</f>
        <v>59000.000000000909</v>
      </c>
      <c r="D13" s="24">
        <f>(D12+C13)</f>
        <v>72200.000000002547</v>
      </c>
      <c r="E13" s="37">
        <v>4125.58</v>
      </c>
      <c r="F13" s="24">
        <f>(E13-E12)*10000</f>
        <v>61099.999999996726</v>
      </c>
      <c r="G13" s="24">
        <f t="shared" si="0"/>
        <v>74899.999999997817</v>
      </c>
      <c r="H13" s="37">
        <v>654.29999999999995</v>
      </c>
      <c r="I13" s="24">
        <f>(H13-H12)*10000</f>
        <v>9599.9999999992269</v>
      </c>
      <c r="J13" s="24">
        <f t="shared" si="1"/>
        <v>9599.9999999992269</v>
      </c>
      <c r="K13" s="37">
        <v>677.71</v>
      </c>
      <c r="L13" s="24">
        <f>(K13-K12)*10000</f>
        <v>10000</v>
      </c>
      <c r="M13" s="24">
        <f t="shared" si="2"/>
        <v>10000</v>
      </c>
      <c r="N13" s="37">
        <v>0</v>
      </c>
      <c r="O13" s="24">
        <f t="shared" ref="O13:O21" si="6">(N13-N12)*10000</f>
        <v>0</v>
      </c>
      <c r="P13" s="24">
        <f t="shared" si="3"/>
        <v>0</v>
      </c>
      <c r="Q13" s="37">
        <v>1490.87</v>
      </c>
      <c r="R13" s="24">
        <f>(Q13-Q12)*10000</f>
        <v>22299.999999997908</v>
      </c>
      <c r="S13" s="24">
        <f t="shared" si="4"/>
        <v>23499.999999999091</v>
      </c>
      <c r="T13" s="37">
        <v>1172.3</v>
      </c>
      <c r="U13" s="24">
        <f>(T13-T12)*10000</f>
        <v>17200.000000000273</v>
      </c>
      <c r="V13" s="24">
        <f t="shared" si="5"/>
        <v>29199.999999998454</v>
      </c>
    </row>
    <row r="14" spans="1:40" ht="13.5" x14ac:dyDescent="0.25">
      <c r="A14" s="31">
        <v>46175</v>
      </c>
      <c r="B14" s="37">
        <v>4001.1</v>
      </c>
      <c r="C14" s="24">
        <f t="shared" ref="C14:C22" si="7">(B14-B13)*10000</f>
        <v>59099.999999998545</v>
      </c>
      <c r="D14" s="24">
        <f t="shared" ref="D14:D22" si="8">(D13+C14)</f>
        <v>131300.00000000111</v>
      </c>
      <c r="E14" s="37">
        <v>4131.6499999999996</v>
      </c>
      <c r="F14" s="24">
        <f t="shared" ref="F14:F22" si="9">(E14-E13)*10000</f>
        <v>60699.99999999709</v>
      </c>
      <c r="G14" s="24">
        <f t="shared" si="0"/>
        <v>135599.99999999491</v>
      </c>
      <c r="H14" s="37">
        <v>655.27</v>
      </c>
      <c r="I14" s="24">
        <f t="shared" ref="I14:I22" si="10">(H14-H13)*10000</f>
        <v>9700.0000000002728</v>
      </c>
      <c r="J14" s="24">
        <f t="shared" si="1"/>
        <v>19299.999999999498</v>
      </c>
      <c r="K14" s="37">
        <v>678.67</v>
      </c>
      <c r="L14" s="24">
        <f t="shared" ref="L14:L22" si="11">(K14-K13)*10000</f>
        <v>9599.9999999992269</v>
      </c>
      <c r="M14" s="24">
        <f t="shared" si="2"/>
        <v>19599.999999999229</v>
      </c>
      <c r="N14" s="37">
        <v>0</v>
      </c>
      <c r="O14" s="24">
        <f t="shared" si="6"/>
        <v>0</v>
      </c>
      <c r="P14" s="24">
        <f t="shared" si="3"/>
        <v>0</v>
      </c>
      <c r="Q14" s="37">
        <v>1493.19</v>
      </c>
      <c r="R14" s="24">
        <f t="shared" ref="R14:R22" si="12">(Q14-Q13)*10000</f>
        <v>23200.000000001637</v>
      </c>
      <c r="S14" s="24">
        <f t="shared" si="4"/>
        <v>46700.000000000728</v>
      </c>
      <c r="T14" s="37">
        <v>1173.95</v>
      </c>
      <c r="U14" s="24">
        <f t="shared" ref="U14:U22" si="13">(T14-T13)*10000</f>
        <v>16500.000000000909</v>
      </c>
      <c r="V14" s="24">
        <f t="shared" si="5"/>
        <v>45699.99999999936</v>
      </c>
    </row>
    <row r="15" spans="1:40" ht="13.5" x14ac:dyDescent="0.25">
      <c r="A15" s="31">
        <v>46176</v>
      </c>
      <c r="B15" s="37">
        <v>4006.73</v>
      </c>
      <c r="C15" s="24">
        <f t="shared" si="7"/>
        <v>56300.000000001091</v>
      </c>
      <c r="D15" s="24">
        <f t="shared" si="8"/>
        <v>187600.00000000221</v>
      </c>
      <c r="E15" s="37">
        <v>4137.49</v>
      </c>
      <c r="F15" s="24">
        <f t="shared" si="9"/>
        <v>58400.000000001455</v>
      </c>
      <c r="G15" s="24">
        <f t="shared" si="0"/>
        <v>193999.99999999636</v>
      </c>
      <c r="H15" s="37">
        <v>656.22</v>
      </c>
      <c r="I15" s="24">
        <f t="shared" si="10"/>
        <v>9500.0000000004547</v>
      </c>
      <c r="J15" s="24">
        <f t="shared" si="1"/>
        <v>28799.999999999953</v>
      </c>
      <c r="K15" s="37">
        <v>679.6</v>
      </c>
      <c r="L15" s="24">
        <f t="shared" si="11"/>
        <v>9300.0000000006366</v>
      </c>
      <c r="M15" s="24">
        <f t="shared" si="2"/>
        <v>28899.999999999865</v>
      </c>
      <c r="N15" s="37">
        <v>0</v>
      </c>
      <c r="O15" s="24">
        <f t="shared" si="6"/>
        <v>0</v>
      </c>
      <c r="P15" s="24">
        <f t="shared" si="3"/>
        <v>0</v>
      </c>
      <c r="Q15" s="37">
        <v>1495.24</v>
      </c>
      <c r="R15" s="24">
        <f t="shared" si="12"/>
        <v>20499.999999999545</v>
      </c>
      <c r="S15" s="24">
        <f t="shared" si="4"/>
        <v>67200.000000000276</v>
      </c>
      <c r="T15" s="37">
        <v>1175.6500000000001</v>
      </c>
      <c r="U15" s="24">
        <f t="shared" si="13"/>
        <v>17000.000000000455</v>
      </c>
      <c r="V15" s="24">
        <f t="shared" si="5"/>
        <v>62699.999999999811</v>
      </c>
    </row>
    <row r="16" spans="1:40" ht="13.5" x14ac:dyDescent="0.25">
      <c r="A16" s="31">
        <v>46177</v>
      </c>
      <c r="B16" s="37">
        <v>4011.98</v>
      </c>
      <c r="C16" s="24">
        <f t="shared" si="7"/>
        <v>52500</v>
      </c>
      <c r="D16" s="24">
        <f t="shared" si="8"/>
        <v>240100.00000000221</v>
      </c>
      <c r="E16" s="37">
        <v>4142.87</v>
      </c>
      <c r="F16" s="24">
        <f t="shared" si="9"/>
        <v>53800.000000001091</v>
      </c>
      <c r="G16" s="24">
        <f t="shared" ref="G16:G21" si="14">(G15+F16)</f>
        <v>247799.99999999744</v>
      </c>
      <c r="H16" s="37">
        <v>657.16</v>
      </c>
      <c r="I16" s="24">
        <f t="shared" si="10"/>
        <v>9399.9999999994088</v>
      </c>
      <c r="J16" s="24">
        <f t="shared" ref="J16:J21" si="15">(J15+I16)</f>
        <v>38199.99999999936</v>
      </c>
      <c r="K16" s="37">
        <v>680.48</v>
      </c>
      <c r="L16" s="24">
        <f t="shared" si="11"/>
        <v>8799.9999999999545</v>
      </c>
      <c r="M16" s="24">
        <f t="shared" ref="M16:M21" si="16">(M15+L16)</f>
        <v>37699.999999999818</v>
      </c>
      <c r="N16" s="37">
        <v>0</v>
      </c>
      <c r="O16" s="24">
        <f t="shared" si="6"/>
        <v>0</v>
      </c>
      <c r="P16" s="24">
        <f t="shared" ref="P16:P21" si="17">(P15+O16)</f>
        <v>0</v>
      </c>
      <c r="Q16" s="37">
        <v>1497.18</v>
      </c>
      <c r="R16" s="24">
        <f t="shared" si="12"/>
        <v>19400.000000000546</v>
      </c>
      <c r="S16" s="24">
        <f t="shared" ref="S16:S21" si="18">(S15+R16)</f>
        <v>86600.000000000815</v>
      </c>
      <c r="T16" s="37">
        <v>1177.1400000000001</v>
      </c>
      <c r="U16" s="24">
        <f t="shared" si="13"/>
        <v>14900.000000000091</v>
      </c>
      <c r="V16" s="24">
        <f t="shared" ref="V16:V21" si="19">(V15+U16)</f>
        <v>77599.999999999898</v>
      </c>
    </row>
    <row r="17" spans="1:22" ht="13.5" x14ac:dyDescent="0.25">
      <c r="A17" s="31">
        <v>46178</v>
      </c>
      <c r="B17" s="37">
        <v>4017.83</v>
      </c>
      <c r="C17" s="24">
        <f t="shared" si="7"/>
        <v>58499.999999999091</v>
      </c>
      <c r="D17" s="24">
        <f t="shared" si="8"/>
        <v>298600.00000000128</v>
      </c>
      <c r="E17" s="37">
        <v>4148.8599999999997</v>
      </c>
      <c r="F17" s="24">
        <f t="shared" si="9"/>
        <v>59899.999999997817</v>
      </c>
      <c r="G17" s="24">
        <f t="shared" si="14"/>
        <v>307699.99999999523</v>
      </c>
      <c r="H17" s="37">
        <v>658.12</v>
      </c>
      <c r="I17" s="24">
        <f t="shared" si="10"/>
        <v>9600.0000000003638</v>
      </c>
      <c r="J17" s="24">
        <f t="shared" si="15"/>
        <v>47799.999999999724</v>
      </c>
      <c r="K17" s="37">
        <v>681.48</v>
      </c>
      <c r="L17" s="24">
        <f t="shared" si="11"/>
        <v>10000</v>
      </c>
      <c r="M17" s="24">
        <f t="shared" si="16"/>
        <v>47699.999999999818</v>
      </c>
      <c r="N17" s="37">
        <v>0</v>
      </c>
      <c r="O17" s="24">
        <f t="shared" si="6"/>
        <v>0</v>
      </c>
      <c r="P17" s="24">
        <f t="shared" si="17"/>
        <v>0</v>
      </c>
      <c r="Q17" s="37">
        <v>1499.4</v>
      </c>
      <c r="R17" s="24">
        <f t="shared" si="12"/>
        <v>22200.000000000273</v>
      </c>
      <c r="S17" s="24">
        <f t="shared" si="18"/>
        <v>108800.00000000109</v>
      </c>
      <c r="T17" s="37">
        <v>1178.81</v>
      </c>
      <c r="U17" s="24">
        <f t="shared" si="13"/>
        <v>16699.999999998454</v>
      </c>
      <c r="V17" s="24">
        <f t="shared" si="19"/>
        <v>94299.999999998356</v>
      </c>
    </row>
    <row r="18" spans="1:22" ht="13.5" x14ac:dyDescent="0.25">
      <c r="A18" s="31">
        <v>46179</v>
      </c>
      <c r="B18" s="37">
        <v>4023.41</v>
      </c>
      <c r="C18" s="24">
        <f t="shared" si="7"/>
        <v>55799.999999999272</v>
      </c>
      <c r="D18" s="24">
        <f t="shared" si="8"/>
        <v>354400.00000000058</v>
      </c>
      <c r="E18" s="37">
        <v>4154.6099999999997</v>
      </c>
      <c r="F18" s="24">
        <f t="shared" si="9"/>
        <v>57500</v>
      </c>
      <c r="G18" s="24">
        <f t="shared" si="14"/>
        <v>365199.99999999523</v>
      </c>
      <c r="H18" s="37">
        <v>659.01</v>
      </c>
      <c r="I18" s="24">
        <f t="shared" si="10"/>
        <v>8899.9999999998636</v>
      </c>
      <c r="J18" s="24">
        <f t="shared" si="15"/>
        <v>56699.999999999585</v>
      </c>
      <c r="K18" s="37">
        <v>682.48</v>
      </c>
      <c r="L18" s="24">
        <f t="shared" si="11"/>
        <v>10000</v>
      </c>
      <c r="M18" s="24">
        <f t="shared" si="16"/>
        <v>57699.999999999818</v>
      </c>
      <c r="N18" s="37">
        <v>0</v>
      </c>
      <c r="O18" s="24">
        <f t="shared" si="6"/>
        <v>0</v>
      </c>
      <c r="P18" s="24">
        <f t="shared" si="17"/>
        <v>0</v>
      </c>
      <c r="Q18" s="37">
        <v>1501.45</v>
      </c>
      <c r="R18" s="24">
        <f t="shared" si="12"/>
        <v>20499.999999999545</v>
      </c>
      <c r="S18" s="24">
        <f t="shared" si="18"/>
        <v>129300.00000000064</v>
      </c>
      <c r="T18" s="37">
        <v>1180.46</v>
      </c>
      <c r="U18" s="24">
        <f t="shared" si="13"/>
        <v>16500.000000000909</v>
      </c>
      <c r="V18" s="24">
        <f t="shared" si="19"/>
        <v>110799.99999999927</v>
      </c>
    </row>
    <row r="19" spans="1:22" ht="13.5" x14ac:dyDescent="0.25">
      <c r="A19" s="31">
        <v>46180</v>
      </c>
      <c r="B19" s="37">
        <v>4028.94</v>
      </c>
      <c r="C19" s="24">
        <f t="shared" si="7"/>
        <v>55300.000000002001</v>
      </c>
      <c r="D19" s="24">
        <f t="shared" si="8"/>
        <v>409700.00000000256</v>
      </c>
      <c r="E19" s="37">
        <v>4160.28</v>
      </c>
      <c r="F19" s="24">
        <f t="shared" si="9"/>
        <v>56700.000000000728</v>
      </c>
      <c r="G19" s="24">
        <f t="shared" si="14"/>
        <v>421899.99999999593</v>
      </c>
      <c r="H19" s="37">
        <v>659.97</v>
      </c>
      <c r="I19" s="24">
        <f t="shared" si="10"/>
        <v>9600.0000000003638</v>
      </c>
      <c r="J19" s="24">
        <f t="shared" si="15"/>
        <v>66299.999999999942</v>
      </c>
      <c r="K19" s="37">
        <v>683.34</v>
      </c>
      <c r="L19" s="24">
        <f t="shared" si="11"/>
        <v>8600.0000000001364</v>
      </c>
      <c r="M19" s="24">
        <f t="shared" si="16"/>
        <v>66299.999999999956</v>
      </c>
      <c r="N19" s="37">
        <v>0</v>
      </c>
      <c r="O19" s="24">
        <f t="shared" si="6"/>
        <v>0</v>
      </c>
      <c r="P19" s="24">
        <f t="shared" si="17"/>
        <v>0</v>
      </c>
      <c r="Q19" s="37">
        <v>1503.63</v>
      </c>
      <c r="R19" s="24">
        <f t="shared" si="12"/>
        <v>21800.000000000637</v>
      </c>
      <c r="S19" s="24">
        <f t="shared" si="18"/>
        <v>151100.00000000128</v>
      </c>
      <c r="T19" s="37">
        <v>1181.99</v>
      </c>
      <c r="U19" s="24">
        <f t="shared" si="13"/>
        <v>15299.999999999727</v>
      </c>
      <c r="V19" s="24">
        <f t="shared" si="19"/>
        <v>126099.999999999</v>
      </c>
    </row>
    <row r="20" spans="1:22" ht="13.5" x14ac:dyDescent="0.25">
      <c r="A20" s="31">
        <v>46181</v>
      </c>
      <c r="B20" s="37">
        <v>4032.14</v>
      </c>
      <c r="C20" s="24">
        <f t="shared" si="7"/>
        <v>31999.999999998181</v>
      </c>
      <c r="D20" s="24">
        <f t="shared" si="8"/>
        <v>441700.00000000076</v>
      </c>
      <c r="E20" s="37">
        <v>4163.59</v>
      </c>
      <c r="F20" s="24">
        <f t="shared" si="9"/>
        <v>33100.000000004002</v>
      </c>
      <c r="G20" s="24">
        <f t="shared" si="14"/>
        <v>454999.99999999994</v>
      </c>
      <c r="H20" s="37">
        <v>660.8</v>
      </c>
      <c r="I20" s="24">
        <f t="shared" si="10"/>
        <v>8299.9999999992724</v>
      </c>
      <c r="J20" s="24">
        <f t="shared" si="15"/>
        <v>74599.999999999214</v>
      </c>
      <c r="K20" s="37">
        <v>683.7</v>
      </c>
      <c r="L20" s="24">
        <f t="shared" si="11"/>
        <v>3600.0000000001364</v>
      </c>
      <c r="M20" s="24">
        <f t="shared" si="16"/>
        <v>69900.000000000087</v>
      </c>
      <c r="N20" s="37">
        <v>0</v>
      </c>
      <c r="O20" s="24">
        <f t="shared" si="6"/>
        <v>0</v>
      </c>
      <c r="P20" s="24">
        <f t="shared" si="17"/>
        <v>0</v>
      </c>
      <c r="Q20" s="37">
        <v>1504.82</v>
      </c>
      <c r="R20" s="24">
        <f t="shared" si="12"/>
        <v>11899.999999998272</v>
      </c>
      <c r="S20" s="24">
        <f t="shared" si="18"/>
        <v>162999.99999999956</v>
      </c>
      <c r="T20" s="37">
        <v>1182.81</v>
      </c>
      <c r="U20" s="24">
        <f t="shared" si="13"/>
        <v>8199.9999999993634</v>
      </c>
      <c r="V20" s="24">
        <f t="shared" si="19"/>
        <v>134299.99999999837</v>
      </c>
    </row>
    <row r="21" spans="1:22" ht="13.5" x14ac:dyDescent="0.25">
      <c r="A21" s="31">
        <v>46182</v>
      </c>
      <c r="B21" s="37">
        <v>4037.43</v>
      </c>
      <c r="C21" s="24">
        <f t="shared" si="7"/>
        <v>52899.999999999636</v>
      </c>
      <c r="D21" s="24">
        <f t="shared" si="8"/>
        <v>494600.00000000041</v>
      </c>
      <c r="E21" s="37">
        <v>4169.0600000000004</v>
      </c>
      <c r="F21" s="24">
        <f t="shared" si="9"/>
        <v>54700.000000002547</v>
      </c>
      <c r="G21" s="24">
        <f t="shared" si="14"/>
        <v>509700.0000000025</v>
      </c>
      <c r="H21" s="37">
        <v>661.54</v>
      </c>
      <c r="I21" s="24">
        <f t="shared" si="10"/>
        <v>7400.0000000000909</v>
      </c>
      <c r="J21" s="24">
        <f t="shared" si="15"/>
        <v>81999.999999999302</v>
      </c>
      <c r="K21" s="37">
        <v>684.64</v>
      </c>
      <c r="L21" s="24">
        <f t="shared" si="11"/>
        <v>9399.9999999994088</v>
      </c>
      <c r="M21" s="24">
        <f t="shared" si="16"/>
        <v>79299.999999999491</v>
      </c>
      <c r="N21" s="37">
        <v>0</v>
      </c>
      <c r="O21" s="24">
        <f t="shared" si="6"/>
        <v>0</v>
      </c>
      <c r="P21" s="24">
        <f t="shared" si="17"/>
        <v>0</v>
      </c>
      <c r="Q21" s="37">
        <v>1506.71</v>
      </c>
      <c r="R21" s="24">
        <f t="shared" si="12"/>
        <v>18900.000000001</v>
      </c>
      <c r="S21" s="24">
        <f t="shared" si="18"/>
        <v>181900.00000000055</v>
      </c>
      <c r="T21" s="37">
        <v>1184.52</v>
      </c>
      <c r="U21" s="24">
        <f t="shared" si="13"/>
        <v>17100.000000000364</v>
      </c>
      <c r="V21" s="24">
        <f t="shared" si="19"/>
        <v>151399.99999999872</v>
      </c>
    </row>
    <row r="22" spans="1:22" ht="13.5" x14ac:dyDescent="0.25">
      <c r="A22" s="31">
        <v>46183</v>
      </c>
      <c r="B22" s="37">
        <v>4042.89</v>
      </c>
      <c r="C22" s="24">
        <f t="shared" si="7"/>
        <v>54600.000000000364</v>
      </c>
      <c r="D22" s="24">
        <f t="shared" si="8"/>
        <v>549200.00000000081</v>
      </c>
      <c r="E22" s="37">
        <v>4174.67</v>
      </c>
      <c r="F22" s="24">
        <f t="shared" si="9"/>
        <v>56099.999999996726</v>
      </c>
      <c r="G22" s="24">
        <f t="shared" ref="G22" si="20">(G21+F22)</f>
        <v>565799.99999999919</v>
      </c>
      <c r="H22" s="37">
        <v>662.5</v>
      </c>
      <c r="I22" s="24">
        <f t="shared" si="10"/>
        <v>9600.0000000003638</v>
      </c>
      <c r="J22" s="24">
        <f t="shared" ref="J22" si="21">(J21+I22)</f>
        <v>91599.999999999665</v>
      </c>
      <c r="K22" s="37">
        <v>685.65</v>
      </c>
      <c r="L22" s="24">
        <f t="shared" si="11"/>
        <v>10099.999999999909</v>
      </c>
      <c r="M22" s="24">
        <f t="shared" ref="M22" si="22">(M21+L22)</f>
        <v>89399.999999999403</v>
      </c>
      <c r="N22" s="37">
        <v>0</v>
      </c>
      <c r="O22" s="24">
        <f t="shared" ref="O22" si="23">(N22-N21)*10000</f>
        <v>0</v>
      </c>
      <c r="P22" s="24">
        <f t="shared" ref="P22" si="24">(P21+O22)</f>
        <v>0</v>
      </c>
      <c r="Q22" s="37">
        <v>1508.88</v>
      </c>
      <c r="R22" s="24">
        <f t="shared" si="12"/>
        <v>21700.000000000728</v>
      </c>
      <c r="S22" s="24">
        <f t="shared" ref="S22" si="25">(S21+R22)</f>
        <v>203600.00000000128</v>
      </c>
      <c r="T22" s="37">
        <v>1185.8399999999999</v>
      </c>
      <c r="U22" s="24">
        <f t="shared" si="13"/>
        <v>13199.999999999363</v>
      </c>
      <c r="V22" s="24">
        <f t="shared" ref="V22" si="26">(V21+U22)</f>
        <v>164599.99999999808</v>
      </c>
    </row>
    <row r="23" spans="1:22" ht="13.5" x14ac:dyDescent="0.25">
      <c r="A23" s="31">
        <v>46184</v>
      </c>
      <c r="B23" s="37">
        <v>4048.24</v>
      </c>
      <c r="C23" s="24">
        <f t="shared" ref="C23:C27" si="27">(B23-B22)*10000</f>
        <v>53499.999999999091</v>
      </c>
      <c r="D23" s="24">
        <f t="shared" ref="D23:D26" si="28">(D22+C23)</f>
        <v>602699.99999999988</v>
      </c>
      <c r="E23" s="37">
        <v>4180.1499999999996</v>
      </c>
      <c r="F23" s="24">
        <f t="shared" ref="F23:F27" si="29">(E23-E22)*10000</f>
        <v>54799.999999995634</v>
      </c>
      <c r="G23" s="24">
        <f t="shared" ref="G23:G26" si="30">(G22+F23)</f>
        <v>620599.99999999488</v>
      </c>
      <c r="H23" s="37">
        <v>663.39</v>
      </c>
      <c r="I23" s="24">
        <f t="shared" ref="I23:I27" si="31">(H23-H22)*10000</f>
        <v>8899.9999999998636</v>
      </c>
      <c r="J23" s="24">
        <f t="shared" ref="J23:J26" si="32">(J22+I23)</f>
        <v>100499.99999999953</v>
      </c>
      <c r="K23" s="37">
        <v>686.54</v>
      </c>
      <c r="L23" s="24">
        <f t="shared" ref="L23:L27" si="33">(K23-K22)*10000</f>
        <v>8899.9999999998636</v>
      </c>
      <c r="M23" s="24">
        <f t="shared" ref="M23:M26" si="34">(M22+L23)</f>
        <v>98299.999999999272</v>
      </c>
      <c r="N23" s="37">
        <v>0</v>
      </c>
      <c r="O23" s="24">
        <f t="shared" ref="O23:O26" si="35">(N23-N22)*10000</f>
        <v>0</v>
      </c>
      <c r="P23" s="24">
        <f t="shared" ref="P23:P26" si="36">(P22+O23)</f>
        <v>0</v>
      </c>
      <c r="Q23" s="37">
        <v>1510.82</v>
      </c>
      <c r="R23" s="24">
        <f t="shared" ref="R23:R27" si="37">(Q23-Q22)*10000</f>
        <v>19399.999999998272</v>
      </c>
      <c r="S23" s="24">
        <f t="shared" ref="S23:S26" si="38">(S22+R23)</f>
        <v>222999.99999999956</v>
      </c>
      <c r="T23" s="37">
        <v>1187.47</v>
      </c>
      <c r="U23" s="24">
        <f t="shared" ref="U23:U27" si="39">(T23-T22)*10000</f>
        <v>16300.000000001091</v>
      </c>
      <c r="V23" s="24">
        <f t="shared" ref="V23:V26" si="40">(V22+U23)</f>
        <v>180899.99999999919</v>
      </c>
    </row>
    <row r="24" spans="1:22" ht="13.5" x14ac:dyDescent="0.25">
      <c r="A24" s="31">
        <v>46185</v>
      </c>
      <c r="B24" s="37">
        <v>4053.92</v>
      </c>
      <c r="C24" s="24">
        <f t="shared" si="27"/>
        <v>56800.00000000291</v>
      </c>
      <c r="D24" s="24">
        <f t="shared" si="28"/>
        <v>659500.00000000279</v>
      </c>
      <c r="E24" s="37">
        <v>4185.97</v>
      </c>
      <c r="F24" s="24">
        <f t="shared" si="29"/>
        <v>58200.000000006185</v>
      </c>
      <c r="G24" s="24">
        <f t="shared" si="30"/>
        <v>678800.00000000105</v>
      </c>
      <c r="H24" s="37">
        <v>664.34</v>
      </c>
      <c r="I24" s="24">
        <f t="shared" si="31"/>
        <v>9500.0000000004547</v>
      </c>
      <c r="J24" s="24">
        <f t="shared" si="32"/>
        <v>109999.99999999999</v>
      </c>
      <c r="K24" s="37">
        <v>687.54</v>
      </c>
      <c r="L24" s="24">
        <f t="shared" si="33"/>
        <v>10000</v>
      </c>
      <c r="M24" s="24">
        <f t="shared" si="34"/>
        <v>108299.99999999927</v>
      </c>
      <c r="N24" s="37">
        <v>0</v>
      </c>
      <c r="O24" s="24">
        <f t="shared" si="35"/>
        <v>0</v>
      </c>
      <c r="P24" s="24">
        <f t="shared" si="36"/>
        <v>0</v>
      </c>
      <c r="Q24" s="37">
        <v>1512.94</v>
      </c>
      <c r="R24" s="24">
        <f t="shared" si="37"/>
        <v>21200.000000001182</v>
      </c>
      <c r="S24" s="24">
        <f t="shared" si="38"/>
        <v>244200.00000000076</v>
      </c>
      <c r="T24" s="37">
        <v>1189.0899999999999</v>
      </c>
      <c r="U24" s="24">
        <f t="shared" si="39"/>
        <v>16199.999999998909</v>
      </c>
      <c r="V24" s="24">
        <f t="shared" si="40"/>
        <v>197099.99999999808</v>
      </c>
    </row>
    <row r="25" spans="1:22" ht="13.5" x14ac:dyDescent="0.25">
      <c r="A25" s="31">
        <v>46186</v>
      </c>
      <c r="B25" s="37">
        <v>4059.65</v>
      </c>
      <c r="C25" s="24">
        <f t="shared" si="27"/>
        <v>57300.000000000182</v>
      </c>
      <c r="D25" s="24">
        <f t="shared" si="28"/>
        <v>716800.00000000303</v>
      </c>
      <c r="E25" s="37">
        <v>4191.83</v>
      </c>
      <c r="F25" s="24">
        <f t="shared" si="29"/>
        <v>58599.999999996726</v>
      </c>
      <c r="G25" s="24">
        <f t="shared" si="30"/>
        <v>737399.99999999779</v>
      </c>
      <c r="H25" s="37">
        <v>665.23</v>
      </c>
      <c r="I25" s="24">
        <f t="shared" si="31"/>
        <v>8899.9999999998636</v>
      </c>
      <c r="J25" s="24">
        <f t="shared" si="32"/>
        <v>118899.99999999985</v>
      </c>
      <c r="K25" s="37">
        <v>688.48</v>
      </c>
      <c r="L25" s="24">
        <f t="shared" si="33"/>
        <v>9400.0000000005457</v>
      </c>
      <c r="M25" s="24">
        <f t="shared" si="34"/>
        <v>117699.99999999983</v>
      </c>
      <c r="N25" s="37">
        <v>0</v>
      </c>
      <c r="O25" s="24">
        <f t="shared" si="35"/>
        <v>0</v>
      </c>
      <c r="P25" s="24">
        <f t="shared" si="36"/>
        <v>0</v>
      </c>
      <c r="Q25" s="37">
        <v>1515.14</v>
      </c>
      <c r="R25" s="24">
        <f t="shared" si="37"/>
        <v>22000.000000000455</v>
      </c>
      <c r="S25" s="24">
        <f t="shared" si="38"/>
        <v>266200.00000000122</v>
      </c>
      <c r="T25" s="37">
        <v>1190.79</v>
      </c>
      <c r="U25" s="24">
        <f t="shared" si="39"/>
        <v>17000.000000000455</v>
      </c>
      <c r="V25" s="24">
        <f t="shared" si="40"/>
        <v>214099.99999999854</v>
      </c>
    </row>
    <row r="26" spans="1:22" ht="13.5" x14ac:dyDescent="0.25">
      <c r="A26" s="31">
        <v>46187</v>
      </c>
      <c r="B26" s="37">
        <v>4065.34</v>
      </c>
      <c r="C26" s="24">
        <f t="shared" si="27"/>
        <v>56900.000000000546</v>
      </c>
      <c r="D26" s="24">
        <f t="shared" si="28"/>
        <v>773700.00000000361</v>
      </c>
      <c r="E26" s="37">
        <v>4197.66</v>
      </c>
      <c r="F26" s="24">
        <f t="shared" si="29"/>
        <v>58299.999999999272</v>
      </c>
      <c r="G26" s="24">
        <f t="shared" si="30"/>
        <v>795699.99999999709</v>
      </c>
      <c r="H26" s="37">
        <v>666.19</v>
      </c>
      <c r="I26" s="24">
        <f t="shared" si="31"/>
        <v>9600.0000000003638</v>
      </c>
      <c r="J26" s="24">
        <f t="shared" si="32"/>
        <v>128500.00000000022</v>
      </c>
      <c r="K26" s="37">
        <v>689.48</v>
      </c>
      <c r="L26" s="24">
        <f t="shared" si="33"/>
        <v>10000</v>
      </c>
      <c r="M26" s="24">
        <f t="shared" si="34"/>
        <v>127699.99999999983</v>
      </c>
      <c r="N26" s="37">
        <v>0</v>
      </c>
      <c r="O26" s="24">
        <f t="shared" si="35"/>
        <v>0</v>
      </c>
      <c r="P26" s="24">
        <f t="shared" si="36"/>
        <v>0</v>
      </c>
      <c r="Q26" s="37">
        <v>1517.18</v>
      </c>
      <c r="R26" s="24">
        <f t="shared" si="37"/>
        <v>20399.999999999636</v>
      </c>
      <c r="S26" s="24">
        <f t="shared" si="38"/>
        <v>286600.00000000087</v>
      </c>
      <c r="T26" s="37">
        <v>1192.48</v>
      </c>
      <c r="U26" s="24">
        <f t="shared" si="39"/>
        <v>16900.000000000546</v>
      </c>
      <c r="V26" s="24">
        <f t="shared" si="40"/>
        <v>230999.9999999991</v>
      </c>
    </row>
    <row r="27" spans="1:22" ht="13.5" x14ac:dyDescent="0.25">
      <c r="A27" s="31">
        <v>46188</v>
      </c>
      <c r="B27" s="37">
        <v>4071.1</v>
      </c>
      <c r="C27" s="24">
        <f t="shared" si="27"/>
        <v>57599.999999997635</v>
      </c>
      <c r="D27" s="24">
        <f t="shared" ref="D27:D28" si="41">(D26+C27)</f>
        <v>831300.00000000128</v>
      </c>
      <c r="E27" s="37">
        <v>4203.55</v>
      </c>
      <c r="F27" s="24">
        <f t="shared" si="29"/>
        <v>58900.000000003274</v>
      </c>
      <c r="G27" s="24">
        <f t="shared" ref="G27:G28" si="42">(G26+F27)</f>
        <v>854600.00000000035</v>
      </c>
      <c r="H27" s="37">
        <v>667.14</v>
      </c>
      <c r="I27" s="24">
        <f t="shared" si="31"/>
        <v>9499.9999999993179</v>
      </c>
      <c r="J27" s="24">
        <f t="shared" ref="J27:J28" si="43">(J26+I27)</f>
        <v>137999.99999999953</v>
      </c>
      <c r="K27" s="37">
        <v>690.48</v>
      </c>
      <c r="L27" s="24">
        <f t="shared" si="33"/>
        <v>10000</v>
      </c>
      <c r="M27" s="24">
        <f t="shared" ref="M27:M28" si="44">(M26+L27)</f>
        <v>137699.99999999983</v>
      </c>
      <c r="N27" s="37">
        <v>0</v>
      </c>
      <c r="O27" s="24">
        <f t="shared" ref="O27:O28" si="45">(N27-N26)*10000</f>
        <v>0</v>
      </c>
      <c r="P27" s="24">
        <f t="shared" ref="P27:P28" si="46">(P26+O27)</f>
        <v>0</v>
      </c>
      <c r="Q27" s="37">
        <v>1519.36</v>
      </c>
      <c r="R27" s="24">
        <f t="shared" si="37"/>
        <v>21799.999999998363</v>
      </c>
      <c r="S27" s="24">
        <f t="shared" ref="S27:S28" si="47">(S26+R27)</f>
        <v>308399.99999999924</v>
      </c>
      <c r="T27" s="37">
        <v>1194.1099999999999</v>
      </c>
      <c r="U27" s="24">
        <f t="shared" si="39"/>
        <v>16299.999999998818</v>
      </c>
      <c r="V27" s="24">
        <f t="shared" ref="V27:V28" si="48">(V26+U27)</f>
        <v>247299.9999999979</v>
      </c>
    </row>
    <row r="28" spans="1:22" ht="13.5" x14ac:dyDescent="0.25">
      <c r="A28" s="31">
        <v>46189</v>
      </c>
      <c r="B28" s="37">
        <v>4076.82</v>
      </c>
      <c r="C28" s="24">
        <f t="shared" ref="C28" si="49">(B28-B27)*10000</f>
        <v>57200.000000002547</v>
      </c>
      <c r="D28" s="24">
        <f t="shared" si="41"/>
        <v>888500.00000000384</v>
      </c>
      <c r="E28" s="37">
        <v>4209.47</v>
      </c>
      <c r="F28" s="24">
        <f t="shared" ref="F28" si="50">(E28-E27)*10000</f>
        <v>59200.000000000728</v>
      </c>
      <c r="G28" s="24">
        <f t="shared" si="42"/>
        <v>913800.00000000105</v>
      </c>
      <c r="H28" s="37">
        <v>668.1</v>
      </c>
      <c r="I28" s="24">
        <f t="shared" ref="I28" si="51">(H28-H27)*10000</f>
        <v>9600.0000000003638</v>
      </c>
      <c r="J28" s="24">
        <f t="shared" si="43"/>
        <v>147599.99999999988</v>
      </c>
      <c r="K28" s="37">
        <v>691.45</v>
      </c>
      <c r="L28" s="24">
        <f t="shared" ref="L28" si="52">(K28-K27)*10000</f>
        <v>9700.0000000002728</v>
      </c>
      <c r="M28" s="24">
        <f t="shared" si="44"/>
        <v>147400.00000000009</v>
      </c>
      <c r="N28" s="37">
        <v>0</v>
      </c>
      <c r="O28" s="24">
        <f t="shared" si="45"/>
        <v>0</v>
      </c>
      <c r="P28" s="24">
        <f t="shared" si="46"/>
        <v>0</v>
      </c>
      <c r="Q28" s="37">
        <v>1521.53</v>
      </c>
      <c r="R28" s="24">
        <f t="shared" ref="R28" si="53">(Q28-Q27)*10000</f>
        <v>21700.000000000728</v>
      </c>
      <c r="S28" s="24">
        <f t="shared" si="47"/>
        <v>330100</v>
      </c>
      <c r="T28" s="37">
        <v>1195.73</v>
      </c>
      <c r="U28" s="24">
        <f t="shared" ref="U28" si="54">(T28-T27)*10000</f>
        <v>16200.000000001182</v>
      </c>
      <c r="V28" s="24">
        <f t="shared" si="48"/>
        <v>263499.99999999907</v>
      </c>
    </row>
    <row r="29" spans="1:22" ht="13.5" x14ac:dyDescent="0.25">
      <c r="A29" s="31">
        <v>46190</v>
      </c>
      <c r="B29" s="37">
        <v>4081.38</v>
      </c>
      <c r="C29" s="24">
        <f t="shared" ref="C29:C32" si="55">(B29-B28)*10000</f>
        <v>45599.999999999454</v>
      </c>
      <c r="D29" s="24">
        <f t="shared" ref="D29:D31" si="56">(D28+C29)</f>
        <v>934100.00000000326</v>
      </c>
      <c r="E29" s="37">
        <v>4214.13</v>
      </c>
      <c r="F29" s="24">
        <f t="shared" ref="F29:F32" si="57">(E29-E28)*10000</f>
        <v>46599.999999998545</v>
      </c>
      <c r="G29" s="24">
        <f t="shared" ref="G29:G31" si="58">(G28+F29)</f>
        <v>960399.99999999953</v>
      </c>
      <c r="H29" s="37">
        <v>668.99</v>
      </c>
      <c r="I29" s="24">
        <f t="shared" ref="I29:I32" si="59">(H29-H28)*10000</f>
        <v>8899.9999999998636</v>
      </c>
      <c r="J29" s="24">
        <f t="shared" ref="J29:J31" si="60">(J28+I29)</f>
        <v>156499.99999999974</v>
      </c>
      <c r="K29" s="37">
        <v>692.17</v>
      </c>
      <c r="L29" s="24">
        <f t="shared" ref="L29:L32" si="61">(K29-K28)*10000</f>
        <v>7199.999999999136</v>
      </c>
      <c r="M29" s="24">
        <f t="shared" ref="M29:M31" si="62">(M28+L29)</f>
        <v>154599.99999999921</v>
      </c>
      <c r="N29" s="37">
        <v>0</v>
      </c>
      <c r="O29" s="24">
        <f t="shared" ref="O29:O31" si="63">(N29-N28)*10000</f>
        <v>0</v>
      </c>
      <c r="P29" s="24">
        <f t="shared" ref="P29:P31" si="64">(P28+O29)</f>
        <v>0</v>
      </c>
      <c r="Q29" s="37">
        <v>1523.08</v>
      </c>
      <c r="R29" s="24">
        <f t="shared" ref="R29:R32" si="65">(Q29-Q28)*10000</f>
        <v>15499.999999999545</v>
      </c>
      <c r="S29" s="24">
        <f t="shared" ref="S29:S31" si="66">(S28+R29)</f>
        <v>345599.99999999953</v>
      </c>
      <c r="T29" s="37">
        <v>1197.1300000000001</v>
      </c>
      <c r="U29" s="24">
        <f t="shared" ref="U29:U32" si="67">(T29-T28)*10000</f>
        <v>14000.000000000909</v>
      </c>
      <c r="V29" s="24">
        <f t="shared" ref="V29:V31" si="68">(V28+U29)</f>
        <v>277500</v>
      </c>
    </row>
    <row r="30" spans="1:22" ht="13.5" x14ac:dyDescent="0.25">
      <c r="A30" s="31">
        <v>46191</v>
      </c>
      <c r="B30" s="37">
        <v>4086.94</v>
      </c>
      <c r="C30" s="24">
        <f t="shared" si="55"/>
        <v>55599.999999999454</v>
      </c>
      <c r="D30" s="24">
        <f t="shared" si="56"/>
        <v>989700.00000000268</v>
      </c>
      <c r="E30" s="37">
        <v>4219.79</v>
      </c>
      <c r="F30" s="24">
        <f t="shared" si="57"/>
        <v>56599.999999998545</v>
      </c>
      <c r="G30" s="24">
        <f t="shared" si="58"/>
        <v>1016999.9999999981</v>
      </c>
      <c r="H30" s="37">
        <v>669.89</v>
      </c>
      <c r="I30" s="24">
        <f t="shared" si="59"/>
        <v>8999.9999999997726</v>
      </c>
      <c r="J30" s="24">
        <f t="shared" si="60"/>
        <v>165499.99999999951</v>
      </c>
      <c r="K30" s="37">
        <v>693.15</v>
      </c>
      <c r="L30" s="24">
        <f t="shared" si="61"/>
        <v>9800.0000000001819</v>
      </c>
      <c r="M30" s="24">
        <f t="shared" si="62"/>
        <v>164399.99999999939</v>
      </c>
      <c r="N30" s="37">
        <v>0</v>
      </c>
      <c r="O30" s="24">
        <f t="shared" si="63"/>
        <v>0</v>
      </c>
      <c r="P30" s="24">
        <f t="shared" si="64"/>
        <v>0</v>
      </c>
      <c r="Q30" s="37">
        <v>1525.15</v>
      </c>
      <c r="R30" s="24">
        <f t="shared" si="65"/>
        <v>20700.000000001637</v>
      </c>
      <c r="S30" s="24">
        <f t="shared" si="66"/>
        <v>366300.00000000116</v>
      </c>
      <c r="T30" s="37">
        <v>1198.73</v>
      </c>
      <c r="U30" s="24">
        <f t="shared" si="67"/>
        <v>15999.999999999091</v>
      </c>
      <c r="V30" s="24">
        <f t="shared" si="68"/>
        <v>293499.99999999907</v>
      </c>
    </row>
    <row r="31" spans="1:22" ht="13.5" x14ac:dyDescent="0.25">
      <c r="A31" s="31">
        <v>46192</v>
      </c>
      <c r="B31" s="37">
        <v>4092.38</v>
      </c>
      <c r="C31" s="24">
        <f t="shared" si="55"/>
        <v>54400.000000000546</v>
      </c>
      <c r="D31" s="24">
        <f t="shared" si="56"/>
        <v>1044100.0000000033</v>
      </c>
      <c r="E31" s="37">
        <v>4225.33</v>
      </c>
      <c r="F31" s="24">
        <f t="shared" si="57"/>
        <v>55399.999999999636</v>
      </c>
      <c r="G31" s="24">
        <f t="shared" si="58"/>
        <v>1072399.9999999977</v>
      </c>
      <c r="H31" s="37">
        <v>670.85</v>
      </c>
      <c r="I31" s="24">
        <f t="shared" si="59"/>
        <v>9600.0000000003638</v>
      </c>
      <c r="J31" s="24">
        <f t="shared" si="60"/>
        <v>175099.99999999988</v>
      </c>
      <c r="K31" s="37">
        <v>694.06</v>
      </c>
      <c r="L31" s="24">
        <f t="shared" si="61"/>
        <v>9099.9999999996817</v>
      </c>
      <c r="M31" s="24">
        <f t="shared" si="62"/>
        <v>173499.99999999907</v>
      </c>
      <c r="N31" s="37">
        <v>0</v>
      </c>
      <c r="O31" s="24">
        <f t="shared" si="63"/>
        <v>0</v>
      </c>
      <c r="P31" s="24">
        <f t="shared" si="64"/>
        <v>0</v>
      </c>
      <c r="Q31" s="37">
        <v>1527.19</v>
      </c>
      <c r="R31" s="24">
        <f t="shared" si="65"/>
        <v>20399.999999999636</v>
      </c>
      <c r="S31" s="24">
        <f t="shared" si="66"/>
        <v>386700.00000000081</v>
      </c>
      <c r="T31" s="37">
        <v>1200.27</v>
      </c>
      <c r="U31" s="24">
        <f t="shared" si="67"/>
        <v>15399.999999999636</v>
      </c>
      <c r="V31" s="24">
        <f t="shared" si="68"/>
        <v>308899.99999999872</v>
      </c>
    </row>
    <row r="32" spans="1:22" ht="13.5" x14ac:dyDescent="0.25">
      <c r="A32" s="31">
        <v>46193</v>
      </c>
      <c r="B32" s="37">
        <v>4098.04</v>
      </c>
      <c r="C32" s="24">
        <f t="shared" si="55"/>
        <v>56599.999999998545</v>
      </c>
      <c r="D32" s="24">
        <f t="shared" ref="D32" si="69">(D31+C32)</f>
        <v>1100700.0000000019</v>
      </c>
      <c r="E32" s="37">
        <v>4231.0600000000004</v>
      </c>
      <c r="F32" s="24">
        <f t="shared" si="57"/>
        <v>57300.000000004729</v>
      </c>
      <c r="G32" s="24">
        <f t="shared" ref="G32" si="70">(G31+F32)</f>
        <v>1129700.0000000023</v>
      </c>
      <c r="H32" s="37">
        <v>671.8</v>
      </c>
      <c r="I32" s="24">
        <f t="shared" si="59"/>
        <v>9499.9999999993179</v>
      </c>
      <c r="J32" s="24">
        <f t="shared" ref="J32" si="71">(J31+I32)</f>
        <v>184599.99999999921</v>
      </c>
      <c r="K32" s="37">
        <v>694.98</v>
      </c>
      <c r="L32" s="24">
        <f t="shared" si="61"/>
        <v>9200.0000000007276</v>
      </c>
      <c r="M32" s="24">
        <f t="shared" ref="M32" si="72">(M31+L32)</f>
        <v>182699.9999999998</v>
      </c>
      <c r="N32" s="37">
        <v>0</v>
      </c>
      <c r="O32" s="24">
        <f t="shared" ref="O32" si="73">(N32-N31)*10000</f>
        <v>0</v>
      </c>
      <c r="P32" s="24">
        <f t="shared" ref="P32" si="74">(P31+O32)</f>
        <v>0</v>
      </c>
      <c r="Q32" s="37">
        <v>1529.29</v>
      </c>
      <c r="R32" s="24">
        <f t="shared" si="65"/>
        <v>20999.999999999091</v>
      </c>
      <c r="S32" s="24">
        <f t="shared" ref="S32" si="75">(S31+R32)</f>
        <v>407699.99999999988</v>
      </c>
      <c r="T32" s="37">
        <v>1201.97</v>
      </c>
      <c r="U32" s="24">
        <f t="shared" si="67"/>
        <v>17000.000000000455</v>
      </c>
      <c r="V32" s="24">
        <f t="shared" ref="V32" si="76">(V31+U32)</f>
        <v>325899.99999999919</v>
      </c>
    </row>
    <row r="33" spans="1:22" ht="13.5" x14ac:dyDescent="0.25">
      <c r="A33" s="31">
        <v>46194</v>
      </c>
      <c r="B33" s="37">
        <v>4103.08</v>
      </c>
      <c r="C33" s="24">
        <f t="shared" ref="C33:C34" si="77">(B33-B32)*10000</f>
        <v>50399.999999999636</v>
      </c>
      <c r="D33" s="24">
        <f t="shared" ref="D33" si="78">(D32+C33)</f>
        <v>1151100.0000000014</v>
      </c>
      <c r="E33" s="37">
        <v>4236.22</v>
      </c>
      <c r="F33" s="24">
        <f t="shared" ref="F33:F34" si="79">(E33-E32)*10000</f>
        <v>51599.999999998545</v>
      </c>
      <c r="G33" s="24">
        <f t="shared" ref="G33" si="80">(G32+F33)</f>
        <v>1181300.0000000009</v>
      </c>
      <c r="H33" s="37">
        <v>672.59</v>
      </c>
      <c r="I33" s="24">
        <f t="shared" ref="I33:I34" si="81">(H33-H32)*10000</f>
        <v>7900.0000000007731</v>
      </c>
      <c r="J33" s="24">
        <f t="shared" ref="J33" si="82">(J32+I33)</f>
        <v>192500</v>
      </c>
      <c r="K33" s="37">
        <v>695.84</v>
      </c>
      <c r="L33" s="24">
        <f t="shared" ref="L33:L34" si="83">(K33-K32)*10000</f>
        <v>8600.0000000001364</v>
      </c>
      <c r="M33" s="24">
        <f t="shared" ref="M33" si="84">(M32+L33)</f>
        <v>191299.99999999994</v>
      </c>
      <c r="N33" s="37">
        <v>0</v>
      </c>
      <c r="O33" s="24">
        <f t="shared" ref="O33" si="85">(N33-N32)*10000</f>
        <v>0</v>
      </c>
      <c r="P33" s="24">
        <f t="shared" ref="P33" si="86">(P32+O33)</f>
        <v>0</v>
      </c>
      <c r="Q33" s="37">
        <v>1531.07</v>
      </c>
      <c r="R33" s="24">
        <f t="shared" ref="R33:R34" si="87">(Q33-Q32)*10000</f>
        <v>17799.999999999727</v>
      </c>
      <c r="S33" s="24">
        <f t="shared" ref="S33" si="88">(S32+R33)</f>
        <v>425499.99999999959</v>
      </c>
      <c r="T33" s="37">
        <v>1203.57</v>
      </c>
      <c r="U33" s="24">
        <f t="shared" ref="U33:U34" si="89">(T33-T32)*10000</f>
        <v>15999.999999999091</v>
      </c>
      <c r="V33" s="24">
        <f t="shared" ref="V33" si="90">(V32+U33)</f>
        <v>341899.99999999825</v>
      </c>
    </row>
    <row r="34" spans="1:22" ht="13.5" x14ac:dyDescent="0.25">
      <c r="A34" s="31">
        <v>46195</v>
      </c>
      <c r="B34" s="37">
        <v>4108.8</v>
      </c>
      <c r="C34" s="24">
        <f t="shared" si="77"/>
        <v>57200.000000002547</v>
      </c>
      <c r="D34" s="24">
        <f t="shared" ref="D34:D35" si="91">(D33+C34)</f>
        <v>1208300.000000004</v>
      </c>
      <c r="E34" s="37">
        <v>4242.03</v>
      </c>
      <c r="F34" s="24">
        <f t="shared" si="79"/>
        <v>58099.999999994907</v>
      </c>
      <c r="G34" s="24">
        <f t="shared" ref="G34:G35" si="92">(G33+F34)</f>
        <v>1239399.9999999958</v>
      </c>
      <c r="H34" s="37">
        <v>673.54</v>
      </c>
      <c r="I34" s="24">
        <f t="shared" si="81"/>
        <v>9499.9999999993179</v>
      </c>
      <c r="J34" s="24">
        <f t="shared" ref="J34:J35" si="93">(J33+I34)</f>
        <v>201999.99999999933</v>
      </c>
      <c r="K34" s="37">
        <v>696.85</v>
      </c>
      <c r="L34" s="24">
        <f t="shared" si="83"/>
        <v>10099.999999999909</v>
      </c>
      <c r="M34" s="24">
        <f t="shared" ref="M34:M35" si="94">(M33+L34)</f>
        <v>201399.99999999985</v>
      </c>
      <c r="N34" s="37">
        <v>0</v>
      </c>
      <c r="O34" s="24">
        <f t="shared" ref="O34:O35" si="95">(N34-N33)*10000</f>
        <v>0</v>
      </c>
      <c r="P34" s="24">
        <f t="shared" ref="P34:P35" si="96">(P33+O34)</f>
        <v>0</v>
      </c>
      <c r="Q34" s="37">
        <v>1533.17</v>
      </c>
      <c r="R34" s="24">
        <f t="shared" si="87"/>
        <v>21000.000000001364</v>
      </c>
      <c r="S34" s="24">
        <f t="shared" ref="S34:S35" si="97">(S33+R34)</f>
        <v>446500.00000000093</v>
      </c>
      <c r="T34" s="37">
        <v>1205.23</v>
      </c>
      <c r="U34" s="24">
        <f t="shared" si="89"/>
        <v>16600.000000000819</v>
      </c>
      <c r="V34" s="24">
        <f t="shared" ref="V34:V35" si="98">(V33+U34)</f>
        <v>358499.99999999907</v>
      </c>
    </row>
    <row r="35" spans="1:22" ht="13.5" x14ac:dyDescent="0.25">
      <c r="A35" s="31">
        <v>46196</v>
      </c>
      <c r="B35" s="37">
        <v>4114.3999999999996</v>
      </c>
      <c r="C35" s="24">
        <f t="shared" ref="C35" si="99">(B35-B34)*10000</f>
        <v>55999.999999994543</v>
      </c>
      <c r="D35" s="24">
        <f t="shared" si="91"/>
        <v>1264299.9999999986</v>
      </c>
      <c r="E35" s="37">
        <v>4247.7</v>
      </c>
      <c r="F35" s="24">
        <f t="shared" ref="F35" si="100">(E35-E34)*10000</f>
        <v>56700.000000000728</v>
      </c>
      <c r="G35" s="24">
        <f t="shared" si="92"/>
        <v>1296099.9999999965</v>
      </c>
      <c r="H35" s="37">
        <v>674.46</v>
      </c>
      <c r="I35" s="24">
        <f t="shared" ref="I35" si="101">(H35-H34)*10000</f>
        <v>9200.0000000007276</v>
      </c>
      <c r="J35" s="24">
        <f t="shared" si="93"/>
        <v>211200.00000000006</v>
      </c>
      <c r="K35" s="37">
        <v>697.79</v>
      </c>
      <c r="L35" s="24">
        <f t="shared" ref="L35" si="102">(K35-K34)*10000</f>
        <v>9399.9999999994088</v>
      </c>
      <c r="M35" s="24">
        <f t="shared" si="94"/>
        <v>210799.99999999927</v>
      </c>
      <c r="N35" s="37">
        <v>0</v>
      </c>
      <c r="O35" s="24">
        <f t="shared" si="95"/>
        <v>0</v>
      </c>
      <c r="P35" s="24">
        <f t="shared" si="96"/>
        <v>0</v>
      </c>
      <c r="Q35" s="37">
        <v>1535.33</v>
      </c>
      <c r="R35" s="24">
        <f t="shared" ref="R35" si="103">(Q35-Q34)*10000</f>
        <v>21599.999999998545</v>
      </c>
      <c r="S35" s="24">
        <f t="shared" si="97"/>
        <v>468099.99999999948</v>
      </c>
      <c r="T35" s="37">
        <v>1206.82</v>
      </c>
      <c r="U35" s="24">
        <f t="shared" ref="U35" si="104">(T35-T34)*10000</f>
        <v>15899.999999999181</v>
      </c>
      <c r="V35" s="24">
        <f t="shared" si="98"/>
        <v>374399.99999999825</v>
      </c>
    </row>
    <row r="36" spans="1:22" ht="13.5" x14ac:dyDescent="0.25">
      <c r="A36" s="31">
        <v>46197</v>
      </c>
      <c r="B36" s="37"/>
      <c r="C36" s="24"/>
      <c r="D36" s="24">
        <f t="shared" ref="D36:D39" si="105">(D35+C36)</f>
        <v>1264299.9999999986</v>
      </c>
      <c r="E36" s="37"/>
      <c r="F36" s="24"/>
      <c r="G36" s="24">
        <f t="shared" ref="G36:G39" si="106">(G35+F36)</f>
        <v>1296099.9999999965</v>
      </c>
      <c r="H36" s="37"/>
      <c r="I36" s="24"/>
      <c r="J36" s="24">
        <f t="shared" ref="J36:J39" si="107">(J35+I36)</f>
        <v>211200.00000000006</v>
      </c>
      <c r="K36" s="37"/>
      <c r="L36" s="24"/>
      <c r="M36" s="24">
        <f t="shared" ref="M36:M39" si="108">(M35+L36)</f>
        <v>210799.99999999927</v>
      </c>
      <c r="N36" s="37">
        <v>0</v>
      </c>
      <c r="O36" s="24">
        <f t="shared" ref="O36:O39" si="109">(N36-N35)*10000</f>
        <v>0</v>
      </c>
      <c r="P36" s="24">
        <f t="shared" ref="P36:P39" si="110">(P35+O36)</f>
        <v>0</v>
      </c>
      <c r="Q36" s="37"/>
      <c r="R36" s="24"/>
      <c r="S36" s="24">
        <f t="shared" ref="S36:S39" si="111">(S35+R36)</f>
        <v>468099.99999999948</v>
      </c>
      <c r="T36" s="37"/>
      <c r="U36" s="24"/>
      <c r="V36" s="24">
        <f t="shared" ref="V36:V39" si="112">(V35+U36)</f>
        <v>374399.99999999825</v>
      </c>
    </row>
    <row r="37" spans="1:22" ht="13.5" x14ac:dyDescent="0.25">
      <c r="A37" s="31">
        <v>46198</v>
      </c>
      <c r="B37" s="37"/>
      <c r="C37" s="24">
        <f t="shared" ref="C36:C39" si="113">(B37-B36)*10000</f>
        <v>0</v>
      </c>
      <c r="D37" s="24">
        <f t="shared" si="105"/>
        <v>1264299.9999999986</v>
      </c>
      <c r="E37" s="37"/>
      <c r="F37" s="24">
        <f t="shared" ref="F36:F39" si="114">(E37-E36)*10000</f>
        <v>0</v>
      </c>
      <c r="G37" s="24">
        <f t="shared" si="106"/>
        <v>1296099.9999999965</v>
      </c>
      <c r="H37" s="37"/>
      <c r="I37" s="24">
        <f t="shared" ref="I36:I39" si="115">(H37-H36)*10000</f>
        <v>0</v>
      </c>
      <c r="J37" s="24">
        <f t="shared" si="107"/>
        <v>211200.00000000006</v>
      </c>
      <c r="K37" s="37"/>
      <c r="L37" s="24">
        <f t="shared" ref="L36:L39" si="116">(K37-K36)*10000</f>
        <v>0</v>
      </c>
      <c r="M37" s="24">
        <f t="shared" si="108"/>
        <v>210799.99999999927</v>
      </c>
      <c r="N37" s="37">
        <v>0</v>
      </c>
      <c r="O37" s="24">
        <f t="shared" si="109"/>
        <v>0</v>
      </c>
      <c r="P37" s="24">
        <f t="shared" si="110"/>
        <v>0</v>
      </c>
      <c r="Q37" s="37"/>
      <c r="R37" s="24">
        <f t="shared" ref="R36:R39" si="117">(Q37-Q36)*10000</f>
        <v>0</v>
      </c>
      <c r="S37" s="24">
        <f t="shared" si="111"/>
        <v>468099.99999999948</v>
      </c>
      <c r="T37" s="37"/>
      <c r="U37" s="24">
        <f t="shared" ref="U36:U39" si="118">(T37-T36)*10000</f>
        <v>0</v>
      </c>
      <c r="V37" s="24">
        <f t="shared" si="112"/>
        <v>374399.99999999825</v>
      </c>
    </row>
    <row r="38" spans="1:22" ht="13.5" x14ac:dyDescent="0.25">
      <c r="A38" s="31">
        <v>46199</v>
      </c>
      <c r="B38" s="37"/>
      <c r="C38" s="24">
        <f t="shared" si="113"/>
        <v>0</v>
      </c>
      <c r="D38" s="24">
        <f t="shared" si="105"/>
        <v>1264299.9999999986</v>
      </c>
      <c r="E38" s="37"/>
      <c r="F38" s="24">
        <f t="shared" si="114"/>
        <v>0</v>
      </c>
      <c r="G38" s="24">
        <f t="shared" si="106"/>
        <v>1296099.9999999965</v>
      </c>
      <c r="H38" s="37"/>
      <c r="I38" s="24">
        <f t="shared" si="115"/>
        <v>0</v>
      </c>
      <c r="J38" s="24">
        <f t="shared" si="107"/>
        <v>211200.00000000006</v>
      </c>
      <c r="K38" s="37"/>
      <c r="L38" s="24">
        <f t="shared" si="116"/>
        <v>0</v>
      </c>
      <c r="M38" s="24">
        <f t="shared" si="108"/>
        <v>210799.99999999927</v>
      </c>
      <c r="N38" s="37">
        <v>0</v>
      </c>
      <c r="O38" s="24">
        <f t="shared" si="109"/>
        <v>0</v>
      </c>
      <c r="P38" s="24">
        <f t="shared" si="110"/>
        <v>0</v>
      </c>
      <c r="Q38" s="37"/>
      <c r="R38" s="24">
        <f t="shared" si="117"/>
        <v>0</v>
      </c>
      <c r="S38" s="24">
        <f t="shared" si="111"/>
        <v>468099.99999999948</v>
      </c>
      <c r="T38" s="37"/>
      <c r="U38" s="24">
        <f t="shared" si="118"/>
        <v>0</v>
      </c>
      <c r="V38" s="24">
        <f t="shared" si="112"/>
        <v>374399.99999999825</v>
      </c>
    </row>
    <row r="39" spans="1:22" ht="13.5" x14ac:dyDescent="0.25">
      <c r="A39" s="31">
        <v>46200</v>
      </c>
      <c r="B39" s="37"/>
      <c r="C39" s="24">
        <f t="shared" si="113"/>
        <v>0</v>
      </c>
      <c r="D39" s="24">
        <f t="shared" si="105"/>
        <v>1264299.9999999986</v>
      </c>
      <c r="E39" s="37"/>
      <c r="F39" s="24">
        <f t="shared" si="114"/>
        <v>0</v>
      </c>
      <c r="G39" s="24">
        <f t="shared" si="106"/>
        <v>1296099.9999999965</v>
      </c>
      <c r="H39" s="37"/>
      <c r="I39" s="24">
        <f t="shared" si="115"/>
        <v>0</v>
      </c>
      <c r="J39" s="24">
        <f t="shared" si="107"/>
        <v>211200.00000000006</v>
      </c>
      <c r="K39" s="37"/>
      <c r="L39" s="24">
        <f t="shared" si="116"/>
        <v>0</v>
      </c>
      <c r="M39" s="24">
        <f t="shared" si="108"/>
        <v>210799.99999999927</v>
      </c>
      <c r="N39" s="37">
        <v>0</v>
      </c>
      <c r="O39" s="24">
        <f t="shared" si="109"/>
        <v>0</v>
      </c>
      <c r="P39" s="24">
        <f t="shared" si="110"/>
        <v>0</v>
      </c>
      <c r="Q39" s="37"/>
      <c r="R39" s="24">
        <f t="shared" si="117"/>
        <v>0</v>
      </c>
      <c r="S39" s="24">
        <f t="shared" si="111"/>
        <v>468099.99999999948</v>
      </c>
      <c r="T39" s="37"/>
      <c r="U39" s="24">
        <f t="shared" si="118"/>
        <v>0</v>
      </c>
      <c r="V39" s="24">
        <f t="shared" si="112"/>
        <v>374399.99999999825</v>
      </c>
    </row>
    <row r="40" spans="1:22" ht="13.5" x14ac:dyDescent="0.25">
      <c r="A40" s="31">
        <v>46201</v>
      </c>
      <c r="B40" s="37"/>
      <c r="C40" s="24">
        <f t="shared" ref="C40:C43" si="119">(B40-B39)*10000</f>
        <v>0</v>
      </c>
      <c r="D40" s="24">
        <f t="shared" ref="D40:D43" si="120">(D39+C40)</f>
        <v>1264299.9999999986</v>
      </c>
      <c r="E40" s="37"/>
      <c r="F40" s="24">
        <f t="shared" ref="F40:F43" si="121">(E40-E39)*10000</f>
        <v>0</v>
      </c>
      <c r="G40" s="24">
        <f t="shared" ref="G40:G43" si="122">(G39+F40)</f>
        <v>1296099.9999999965</v>
      </c>
      <c r="H40" s="37"/>
      <c r="I40" s="24">
        <f t="shared" ref="I40:I41" si="123">(H40-H39)*10000</f>
        <v>0</v>
      </c>
      <c r="J40" s="24">
        <f t="shared" ref="J40:J41" si="124">(J39+I40)</f>
        <v>211200.00000000006</v>
      </c>
      <c r="K40" s="37"/>
      <c r="L40" s="24">
        <f t="shared" ref="L40:L41" si="125">(K40-K39)*10000</f>
        <v>0</v>
      </c>
      <c r="M40" s="24">
        <f t="shared" ref="M40:M41" si="126">(M39+L40)</f>
        <v>210799.99999999927</v>
      </c>
      <c r="N40" s="37">
        <v>0</v>
      </c>
      <c r="O40" s="24">
        <f t="shared" ref="O40:O41" si="127">(N40-N39)*10000</f>
        <v>0</v>
      </c>
      <c r="P40" s="24">
        <f t="shared" ref="P40:P41" si="128">(P39+O40)</f>
        <v>0</v>
      </c>
      <c r="Q40" s="37"/>
      <c r="R40" s="24">
        <f t="shared" ref="R40:R41" si="129">(Q40-Q39)*10000</f>
        <v>0</v>
      </c>
      <c r="S40" s="24">
        <f t="shared" ref="S40:S41" si="130">(S39+R40)</f>
        <v>468099.99999999948</v>
      </c>
      <c r="T40" s="37"/>
      <c r="U40" s="24">
        <f t="shared" ref="U40:U41" si="131">(T40-T39)*10000</f>
        <v>0</v>
      </c>
      <c r="V40" s="24">
        <f t="shared" ref="V40:V41" si="132">(V39+U40)</f>
        <v>374399.99999999825</v>
      </c>
    </row>
    <row r="41" spans="1:22" ht="13.5" x14ac:dyDescent="0.25">
      <c r="A41" s="31">
        <v>46202</v>
      </c>
      <c r="B41" s="37"/>
      <c r="C41" s="24">
        <f t="shared" si="119"/>
        <v>0</v>
      </c>
      <c r="D41" s="24">
        <f t="shared" si="120"/>
        <v>1264299.9999999986</v>
      </c>
      <c r="E41" s="37"/>
      <c r="F41" s="24">
        <f t="shared" si="121"/>
        <v>0</v>
      </c>
      <c r="G41" s="24">
        <f t="shared" si="122"/>
        <v>1296099.9999999965</v>
      </c>
      <c r="H41" s="37"/>
      <c r="I41" s="24">
        <f t="shared" si="123"/>
        <v>0</v>
      </c>
      <c r="J41" s="24">
        <f t="shared" si="124"/>
        <v>211200.00000000006</v>
      </c>
      <c r="K41" s="37"/>
      <c r="L41" s="24">
        <f t="shared" si="125"/>
        <v>0</v>
      </c>
      <c r="M41" s="24">
        <f t="shared" si="126"/>
        <v>210799.99999999927</v>
      </c>
      <c r="N41" s="37">
        <v>0</v>
      </c>
      <c r="O41" s="24">
        <f t="shared" si="127"/>
        <v>0</v>
      </c>
      <c r="P41" s="24">
        <f t="shared" si="128"/>
        <v>0</v>
      </c>
      <c r="Q41" s="37"/>
      <c r="R41" s="24">
        <f t="shared" si="129"/>
        <v>0</v>
      </c>
      <c r="S41" s="24">
        <f t="shared" si="130"/>
        <v>468099.99999999948</v>
      </c>
      <c r="T41" s="37"/>
      <c r="U41" s="24">
        <f t="shared" si="131"/>
        <v>0</v>
      </c>
      <c r="V41" s="24">
        <f t="shared" si="132"/>
        <v>374399.99999999825</v>
      </c>
    </row>
    <row r="42" spans="1:22" ht="13.5" x14ac:dyDescent="0.25">
      <c r="A42" s="31">
        <v>46203</v>
      </c>
      <c r="B42" s="37"/>
      <c r="C42" s="24">
        <f t="shared" si="119"/>
        <v>0</v>
      </c>
      <c r="D42" s="24">
        <f t="shared" si="120"/>
        <v>1264299.9999999986</v>
      </c>
      <c r="E42" s="37"/>
      <c r="F42" s="24">
        <f t="shared" si="121"/>
        <v>0</v>
      </c>
      <c r="G42" s="24">
        <f t="shared" si="122"/>
        <v>1296099.9999999965</v>
      </c>
      <c r="H42" s="37"/>
      <c r="I42" s="24">
        <f t="shared" ref="I42:I43" si="133">(H42-H41)*10000</f>
        <v>0</v>
      </c>
      <c r="J42" s="24">
        <f t="shared" ref="J42:J43" si="134">(J41+I42)</f>
        <v>211200.00000000006</v>
      </c>
      <c r="K42" s="37"/>
      <c r="L42" s="24">
        <f t="shared" ref="L42:L43" si="135">(K42-K41)*10000</f>
        <v>0</v>
      </c>
      <c r="M42" s="24">
        <f t="shared" ref="M42:M43" si="136">(M41+L42)</f>
        <v>210799.99999999927</v>
      </c>
      <c r="N42" s="37">
        <v>0</v>
      </c>
      <c r="O42" s="24">
        <f t="shared" ref="O42:O43" si="137">(N42-N41)*10000</f>
        <v>0</v>
      </c>
      <c r="P42" s="24">
        <f t="shared" ref="P42:P43" si="138">(P41+O42)</f>
        <v>0</v>
      </c>
      <c r="Q42" s="37"/>
      <c r="R42" s="24">
        <f t="shared" ref="R42:R43" si="139">(Q42-Q41)*10000</f>
        <v>0</v>
      </c>
      <c r="S42" s="24">
        <f t="shared" ref="S42:S43" si="140">(S41+R42)</f>
        <v>468099.99999999948</v>
      </c>
      <c r="T42" s="37"/>
      <c r="U42" s="24">
        <f t="shared" ref="U42:U43" si="141">(T42-T41)*10000</f>
        <v>0</v>
      </c>
      <c r="V42" s="24">
        <f t="shared" ref="V42:V43" si="142">(V41+U42)</f>
        <v>374399.99999999825</v>
      </c>
    </row>
    <row r="43" spans="1:22" ht="13.5" x14ac:dyDescent="0.25">
      <c r="A43" s="31">
        <v>46204</v>
      </c>
      <c r="B43" s="37"/>
      <c r="C43" s="24">
        <f t="shared" si="119"/>
        <v>0</v>
      </c>
      <c r="D43" s="24">
        <f t="shared" si="120"/>
        <v>1264299.9999999986</v>
      </c>
      <c r="E43" s="37"/>
      <c r="F43" s="24">
        <f t="shared" si="121"/>
        <v>0</v>
      </c>
      <c r="G43" s="24">
        <f t="shared" si="122"/>
        <v>1296099.9999999965</v>
      </c>
      <c r="H43" s="37"/>
      <c r="I43" s="24">
        <f t="shared" si="133"/>
        <v>0</v>
      </c>
      <c r="J43" s="24">
        <f t="shared" si="134"/>
        <v>211200.00000000006</v>
      </c>
      <c r="K43" s="37"/>
      <c r="L43" s="24">
        <f t="shared" si="135"/>
        <v>0</v>
      </c>
      <c r="M43" s="24">
        <f t="shared" si="136"/>
        <v>210799.99999999927</v>
      </c>
      <c r="N43" s="37">
        <v>0</v>
      </c>
      <c r="O43" s="24">
        <f t="shared" si="137"/>
        <v>0</v>
      </c>
      <c r="P43" s="24">
        <f t="shared" si="138"/>
        <v>0</v>
      </c>
      <c r="Q43" s="37"/>
      <c r="R43" s="24">
        <f t="shared" si="139"/>
        <v>0</v>
      </c>
      <c r="S43" s="24">
        <f t="shared" si="140"/>
        <v>468099.99999999948</v>
      </c>
      <c r="T43" s="37"/>
      <c r="U43" s="24">
        <f t="shared" si="141"/>
        <v>0</v>
      </c>
      <c r="V43" s="24">
        <f t="shared" si="142"/>
        <v>374399.99999999825</v>
      </c>
    </row>
    <row r="44" spans="1:22" x14ac:dyDescent="0.25">
      <c r="B44" s="19"/>
      <c r="T4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Solar Working</vt:lpstr>
      <vt:lpstr>DAM</vt:lpstr>
      <vt:lpstr>RTM</vt:lpstr>
      <vt:lpstr>TNEB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VEERAGANAPATHY V</dc:creator>
  <cp:lastModifiedBy>J Prasanth -JP9 -MGR/CUD/PVC/CP</cp:lastModifiedBy>
  <dcterms:created xsi:type="dcterms:W3CDTF">2026-04-03T10:34:24Z</dcterms:created>
  <dcterms:modified xsi:type="dcterms:W3CDTF">2026-06-24T11:31:14Z</dcterms:modified>
</cp:coreProperties>
</file>