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InnoWatt\Clients\Active Clients\Brookefields Estate\"/>
    </mc:Choice>
  </mc:AlternateContent>
  <xr:revisionPtr revIDLastSave="0" documentId="13_ncr:1_{A24C766D-B5DB-4B61-AC4C-3827AEB4E6E0}" xr6:coauthVersionLast="47" xr6:coauthVersionMax="47" xr10:uidLastSave="{00000000-0000-0000-0000-000000000000}"/>
  <bookViews>
    <workbookView xWindow="-110" yWindow="-110" windowWidth="22620" windowHeight="13500" tabRatio="713" firstSheet="10" activeTab="35" xr2:uid="{00000000-000D-0000-FFFF-FFFF00000000}"/>
  </bookViews>
  <sheets>
    <sheet name="Energy Schedule" sheetId="62" r:id="rId1"/>
    <sheet name="Savings Sheet" sheetId="8" r:id="rId2"/>
    <sheet name="Slot Wise Consolidate" sheetId="64" r:id="rId3"/>
    <sheet name="Consumption Details" sheetId="65" r:id="rId4"/>
    <sheet name="01" sheetId="34" r:id="rId5"/>
    <sheet name="02" sheetId="35" r:id="rId6"/>
    <sheet name="03" sheetId="36" r:id="rId7"/>
    <sheet name="04" sheetId="37" r:id="rId8"/>
    <sheet name="05" sheetId="38" r:id="rId9"/>
    <sheet name="06" sheetId="39" r:id="rId10"/>
    <sheet name="07" sheetId="40" r:id="rId11"/>
    <sheet name="08" sheetId="41" r:id="rId12"/>
    <sheet name="09" sheetId="42" r:id="rId13"/>
    <sheet name="10" sheetId="15" r:id="rId14"/>
    <sheet name="11" sheetId="16" r:id="rId15"/>
    <sheet name="12" sheetId="31" r:id="rId16"/>
    <sheet name="13" sheetId="43" r:id="rId17"/>
    <sheet name="14" sheetId="44" r:id="rId18"/>
    <sheet name="15" sheetId="45" r:id="rId19"/>
    <sheet name="16" sheetId="46" r:id="rId20"/>
    <sheet name="17" sheetId="47" r:id="rId21"/>
    <sheet name="18" sheetId="32" r:id="rId22"/>
    <sheet name="19" sheetId="33" r:id="rId23"/>
    <sheet name="20" sheetId="48" r:id="rId24"/>
    <sheet name="21" sheetId="49" r:id="rId25"/>
    <sheet name="22" sheetId="50" r:id="rId26"/>
    <sheet name="23" sheetId="51" r:id="rId27"/>
    <sheet name="24" sheetId="52" r:id="rId28"/>
    <sheet name="25" sheetId="53" r:id="rId29"/>
    <sheet name="26" sheetId="54" r:id="rId30"/>
    <sheet name="27" sheetId="55" r:id="rId31"/>
    <sheet name="28" sheetId="56" r:id="rId32"/>
    <sheet name="29" sheetId="57" r:id="rId33"/>
    <sheet name="30" sheetId="58" r:id="rId34"/>
    <sheet name="31" sheetId="59" r:id="rId35"/>
    <sheet name="TNEB Charges" sheetId="61" r:id="rId3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54" l="1"/>
  <c r="J8" i="56"/>
  <c r="J8" i="45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6" i="58" s="1"/>
  <c r="B4" i="8"/>
  <c r="B6" i="16"/>
  <c r="B6" i="15"/>
  <c r="B6" i="42"/>
  <c r="B6" i="41"/>
  <c r="B6" i="40"/>
  <c r="B6" i="39"/>
  <c r="B6" i="38"/>
  <c r="B6" i="37"/>
  <c r="B6" i="36"/>
  <c r="B6" i="35"/>
  <c r="B6" i="34"/>
  <c r="J9" i="59"/>
  <c r="J8" i="59"/>
  <c r="J7" i="59"/>
  <c r="J6" i="59"/>
  <c r="J9" i="58"/>
  <c r="J8" i="58"/>
  <c r="J7" i="58"/>
  <c r="J6" i="58"/>
  <c r="J9" i="57"/>
  <c r="J8" i="57"/>
  <c r="J7" i="57"/>
  <c r="J6" i="57"/>
  <c r="J9" i="56"/>
  <c r="J7" i="56"/>
  <c r="J6" i="56"/>
  <c r="J9" i="55"/>
  <c r="J8" i="55"/>
  <c r="J7" i="55"/>
  <c r="J6" i="55"/>
  <c r="J9" i="54"/>
  <c r="J8" i="54"/>
  <c r="J7" i="54"/>
  <c r="J6" i="54"/>
  <c r="J9" i="53"/>
  <c r="J8" i="53"/>
  <c r="J7" i="53"/>
  <c r="J6" i="53"/>
  <c r="J9" i="52"/>
  <c r="J8" i="52"/>
  <c r="J7" i="52"/>
  <c r="J6" i="52"/>
  <c r="J9" i="51"/>
  <c r="J8" i="51"/>
  <c r="J7" i="51"/>
  <c r="J6" i="51"/>
  <c r="J9" i="50"/>
  <c r="J8" i="50"/>
  <c r="J7" i="50"/>
  <c r="J6" i="50"/>
  <c r="J9" i="49"/>
  <c r="J8" i="49"/>
  <c r="J7" i="49"/>
  <c r="J6" i="49"/>
  <c r="J9" i="48"/>
  <c r="J8" i="48"/>
  <c r="J7" i="48"/>
  <c r="J6" i="48"/>
  <c r="J9" i="33"/>
  <c r="J8" i="33"/>
  <c r="J7" i="33"/>
  <c r="J6" i="33"/>
  <c r="J9" i="32"/>
  <c r="J8" i="32"/>
  <c r="J7" i="32"/>
  <c r="J6" i="32"/>
  <c r="J9" i="47"/>
  <c r="J8" i="47"/>
  <c r="J7" i="47"/>
  <c r="J6" i="47"/>
  <c r="J9" i="46"/>
  <c r="J8" i="46"/>
  <c r="J7" i="46"/>
  <c r="J6" i="46"/>
  <c r="J9" i="45"/>
  <c r="J7" i="45"/>
  <c r="J6" i="45"/>
  <c r="J9" i="44"/>
  <c r="J8" i="44"/>
  <c r="J7" i="44"/>
  <c r="J6" i="44"/>
  <c r="J9" i="43"/>
  <c r="J8" i="43"/>
  <c r="J7" i="43"/>
  <c r="J6" i="43"/>
  <c r="J9" i="31"/>
  <c r="J8" i="31"/>
  <c r="J7" i="31"/>
  <c r="J6" i="31"/>
  <c r="J9" i="16"/>
  <c r="J8" i="16"/>
  <c r="J7" i="16"/>
  <c r="J6" i="16"/>
  <c r="J9" i="15"/>
  <c r="J8" i="15"/>
  <c r="J7" i="15"/>
  <c r="J6" i="15"/>
  <c r="J9" i="42"/>
  <c r="J8" i="42"/>
  <c r="J7" i="42"/>
  <c r="J6" i="42"/>
  <c r="J9" i="41"/>
  <c r="J8" i="41"/>
  <c r="J7" i="41"/>
  <c r="J6" i="41"/>
  <c r="J9" i="40"/>
  <c r="J8" i="40"/>
  <c r="J7" i="40"/>
  <c r="J6" i="40"/>
  <c r="J9" i="39"/>
  <c r="J8" i="39"/>
  <c r="J7" i="39"/>
  <c r="J6" i="39"/>
  <c r="J9" i="38"/>
  <c r="J8" i="38"/>
  <c r="J7" i="38"/>
  <c r="J6" i="38"/>
  <c r="J9" i="37"/>
  <c r="J8" i="37"/>
  <c r="J7" i="37"/>
  <c r="J6" i="37"/>
  <c r="J9" i="36"/>
  <c r="J8" i="36"/>
  <c r="J7" i="36"/>
  <c r="J6" i="36"/>
  <c r="J9" i="35"/>
  <c r="J8" i="35"/>
  <c r="J7" i="35"/>
  <c r="J6" i="35"/>
  <c r="J9" i="34"/>
  <c r="J8" i="34"/>
  <c r="J7" i="34"/>
  <c r="J6" i="34"/>
  <c r="A4" i="65"/>
  <c r="A5" i="65" s="1"/>
  <c r="A6" i="65" s="1"/>
  <c r="A7" i="65" s="1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K10" i="34"/>
  <c r="B24" i="59"/>
  <c r="B23" i="59"/>
  <c r="B22" i="59"/>
  <c r="B21" i="59"/>
  <c r="B20" i="59"/>
  <c r="B19" i="59"/>
  <c r="B18" i="59"/>
  <c r="B17" i="59"/>
  <c r="B16" i="59"/>
  <c r="B15" i="59"/>
  <c r="B14" i="59"/>
  <c r="B13" i="59"/>
  <c r="B12" i="59"/>
  <c r="B11" i="59"/>
  <c r="B10" i="59"/>
  <c r="B9" i="59"/>
  <c r="B8" i="59"/>
  <c r="B7" i="59"/>
  <c r="B24" i="58"/>
  <c r="B23" i="58"/>
  <c r="B22" i="58"/>
  <c r="B21" i="58"/>
  <c r="B20" i="58"/>
  <c r="B19" i="58"/>
  <c r="B18" i="58"/>
  <c r="B17" i="58"/>
  <c r="B16" i="58"/>
  <c r="B15" i="58"/>
  <c r="B14" i="58"/>
  <c r="B13" i="58"/>
  <c r="B12" i="58"/>
  <c r="B11" i="58"/>
  <c r="B10" i="58"/>
  <c r="B9" i="58"/>
  <c r="B8" i="58"/>
  <c r="B7" i="58"/>
  <c r="B24" i="57"/>
  <c r="B23" i="57"/>
  <c r="B22" i="57"/>
  <c r="B21" i="57"/>
  <c r="B20" i="57"/>
  <c r="B19" i="57"/>
  <c r="B18" i="57"/>
  <c r="B17" i="57"/>
  <c r="B16" i="57"/>
  <c r="B15" i="57"/>
  <c r="B14" i="57"/>
  <c r="B13" i="57"/>
  <c r="B12" i="57"/>
  <c r="B11" i="57"/>
  <c r="B10" i="57"/>
  <c r="B9" i="57"/>
  <c r="B8" i="57"/>
  <c r="B7" i="57"/>
  <c r="B24" i="56"/>
  <c r="B23" i="56"/>
  <c r="B22" i="56"/>
  <c r="B21" i="56"/>
  <c r="B20" i="56"/>
  <c r="B19" i="56"/>
  <c r="B18" i="56"/>
  <c r="B17" i="56"/>
  <c r="B16" i="56"/>
  <c r="B15" i="56"/>
  <c r="B14" i="56"/>
  <c r="B13" i="56"/>
  <c r="B12" i="56"/>
  <c r="B11" i="56"/>
  <c r="B10" i="56"/>
  <c r="B9" i="56"/>
  <c r="B8" i="56"/>
  <c r="B7" i="56"/>
  <c r="B24" i="55"/>
  <c r="B23" i="55"/>
  <c r="B22" i="55"/>
  <c r="B21" i="55"/>
  <c r="B20" i="55"/>
  <c r="B19" i="55"/>
  <c r="B18" i="55"/>
  <c r="B17" i="55"/>
  <c r="B16" i="55"/>
  <c r="B15" i="55"/>
  <c r="B14" i="55"/>
  <c r="B13" i="55"/>
  <c r="B12" i="55"/>
  <c r="B11" i="55"/>
  <c r="B10" i="55"/>
  <c r="B9" i="55"/>
  <c r="B8" i="55"/>
  <c r="B7" i="55"/>
  <c r="B24" i="54"/>
  <c r="B23" i="54"/>
  <c r="B22" i="54"/>
  <c r="B21" i="54"/>
  <c r="B20" i="54"/>
  <c r="B19" i="54"/>
  <c r="B18" i="54"/>
  <c r="B17" i="54"/>
  <c r="B16" i="54"/>
  <c r="B15" i="54"/>
  <c r="B14" i="54"/>
  <c r="B12" i="54"/>
  <c r="B11" i="54"/>
  <c r="B10" i="54"/>
  <c r="B9" i="54"/>
  <c r="B8" i="54"/>
  <c r="B7" i="54"/>
  <c r="B24" i="53"/>
  <c r="B23" i="53"/>
  <c r="B22" i="53"/>
  <c r="B21" i="53"/>
  <c r="B20" i="53"/>
  <c r="B19" i="53"/>
  <c r="B18" i="53"/>
  <c r="B17" i="53"/>
  <c r="B16" i="53"/>
  <c r="B15" i="53"/>
  <c r="B14" i="53"/>
  <c r="B13" i="53"/>
  <c r="B12" i="53"/>
  <c r="B11" i="53"/>
  <c r="B10" i="53"/>
  <c r="B9" i="53"/>
  <c r="B8" i="53"/>
  <c r="B7" i="53"/>
  <c r="B24" i="52"/>
  <c r="B23" i="52"/>
  <c r="B22" i="52"/>
  <c r="B21" i="52"/>
  <c r="B20" i="52"/>
  <c r="B19" i="52"/>
  <c r="B18" i="52"/>
  <c r="B17" i="52"/>
  <c r="B16" i="52"/>
  <c r="B15" i="52"/>
  <c r="B14" i="52"/>
  <c r="B13" i="52"/>
  <c r="B12" i="52"/>
  <c r="B11" i="52"/>
  <c r="B10" i="52"/>
  <c r="B9" i="52"/>
  <c r="B8" i="52"/>
  <c r="B7" i="52"/>
  <c r="B24" i="51"/>
  <c r="B23" i="51"/>
  <c r="B22" i="51"/>
  <c r="B21" i="51"/>
  <c r="B20" i="51"/>
  <c r="B19" i="51"/>
  <c r="B18" i="51"/>
  <c r="B17" i="51"/>
  <c r="B16" i="51"/>
  <c r="B15" i="51"/>
  <c r="B14" i="51"/>
  <c r="B13" i="51"/>
  <c r="B12" i="51"/>
  <c r="B11" i="51"/>
  <c r="B10" i="51"/>
  <c r="B9" i="51"/>
  <c r="B8" i="51"/>
  <c r="B7" i="51"/>
  <c r="B24" i="50"/>
  <c r="B23" i="50"/>
  <c r="B22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7" i="50"/>
  <c r="B24" i="49"/>
  <c r="B23" i="49"/>
  <c r="B22" i="49"/>
  <c r="B21" i="49"/>
  <c r="B20" i="49"/>
  <c r="B19" i="49"/>
  <c r="B18" i="49"/>
  <c r="B17" i="49"/>
  <c r="B16" i="49"/>
  <c r="B15" i="49"/>
  <c r="B14" i="49"/>
  <c r="B13" i="49"/>
  <c r="B12" i="49"/>
  <c r="B11" i="49"/>
  <c r="B10" i="49"/>
  <c r="B9" i="49"/>
  <c r="B8" i="49"/>
  <c r="B7" i="49"/>
  <c r="B24" i="48"/>
  <c r="B23" i="48"/>
  <c r="B22" i="48"/>
  <c r="B21" i="48"/>
  <c r="B20" i="48"/>
  <c r="B19" i="48"/>
  <c r="B18" i="48"/>
  <c r="B17" i="48"/>
  <c r="B16" i="48"/>
  <c r="B15" i="48"/>
  <c r="B14" i="48"/>
  <c r="B13" i="48"/>
  <c r="B12" i="48"/>
  <c r="B11" i="48"/>
  <c r="B10" i="48"/>
  <c r="B9" i="48"/>
  <c r="B8" i="48"/>
  <c r="B7" i="48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24" i="47"/>
  <c r="B23" i="47"/>
  <c r="B22" i="47"/>
  <c r="B21" i="47"/>
  <c r="B20" i="47"/>
  <c r="B19" i="47"/>
  <c r="B18" i="47"/>
  <c r="B17" i="47"/>
  <c r="B16" i="47"/>
  <c r="B15" i="47"/>
  <c r="B14" i="47"/>
  <c r="B13" i="47"/>
  <c r="B12" i="47"/>
  <c r="B11" i="47"/>
  <c r="B10" i="47"/>
  <c r="B9" i="47"/>
  <c r="B8" i="47"/>
  <c r="B7" i="47"/>
  <c r="B24" i="46"/>
  <c r="B23" i="46"/>
  <c r="B22" i="46"/>
  <c r="B21" i="46"/>
  <c r="B20" i="46"/>
  <c r="B19" i="46"/>
  <c r="B18" i="46"/>
  <c r="B17" i="46"/>
  <c r="B16" i="46"/>
  <c r="B15" i="46"/>
  <c r="B14" i="46"/>
  <c r="B13" i="46"/>
  <c r="B12" i="46"/>
  <c r="B11" i="46"/>
  <c r="B10" i="46"/>
  <c r="B9" i="46"/>
  <c r="B8" i="46"/>
  <c r="B7" i="46"/>
  <c r="B24" i="45"/>
  <c r="B23" i="45"/>
  <c r="B22" i="45"/>
  <c r="B21" i="45"/>
  <c r="B20" i="45"/>
  <c r="B19" i="45"/>
  <c r="B18" i="45"/>
  <c r="B17" i="45"/>
  <c r="B16" i="45"/>
  <c r="B15" i="45"/>
  <c r="B14" i="45"/>
  <c r="B13" i="45"/>
  <c r="B12" i="45"/>
  <c r="B11" i="45"/>
  <c r="B10" i="45"/>
  <c r="B9" i="45"/>
  <c r="B8" i="45"/>
  <c r="B7" i="45"/>
  <c r="B24" i="44"/>
  <c r="B23" i="44"/>
  <c r="B22" i="44"/>
  <c r="B21" i="44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24" i="43"/>
  <c r="B23" i="43"/>
  <c r="B22" i="43"/>
  <c r="B21" i="43"/>
  <c r="B20" i="43"/>
  <c r="B19" i="43"/>
  <c r="B18" i="43"/>
  <c r="B17" i="43"/>
  <c r="B16" i="43"/>
  <c r="B15" i="43"/>
  <c r="B14" i="43"/>
  <c r="B13" i="43"/>
  <c r="B12" i="43"/>
  <c r="B11" i="43"/>
  <c r="B10" i="43"/>
  <c r="B9" i="43"/>
  <c r="B8" i="43"/>
  <c r="B7" i="43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B8" i="42"/>
  <c r="B7" i="42"/>
  <c r="B24" i="41"/>
  <c r="B23" i="41"/>
  <c r="B22" i="41"/>
  <c r="B21" i="41"/>
  <c r="B20" i="41"/>
  <c r="B19" i="41"/>
  <c r="B18" i="41"/>
  <c r="B17" i="41"/>
  <c r="B16" i="41"/>
  <c r="B15" i="41"/>
  <c r="B14" i="41"/>
  <c r="B13" i="41"/>
  <c r="B12" i="41"/>
  <c r="B11" i="41"/>
  <c r="B10" i="41"/>
  <c r="B9" i="41"/>
  <c r="B8" i="41"/>
  <c r="B7" i="41"/>
  <c r="B24" i="40"/>
  <c r="B23" i="40"/>
  <c r="B22" i="40"/>
  <c r="B21" i="40"/>
  <c r="B20" i="40"/>
  <c r="B19" i="40"/>
  <c r="B18" i="40"/>
  <c r="B17" i="40"/>
  <c r="B16" i="40"/>
  <c r="B15" i="40"/>
  <c r="B14" i="40"/>
  <c r="B13" i="40"/>
  <c r="B12" i="40"/>
  <c r="B11" i="40"/>
  <c r="B10" i="40"/>
  <c r="B9" i="40"/>
  <c r="B8" i="40"/>
  <c r="B7" i="40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24" i="38"/>
  <c r="B23" i="38"/>
  <c r="B22" i="38"/>
  <c r="B21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B7" i="38"/>
  <c r="B24" i="37"/>
  <c r="B23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B8" i="37"/>
  <c r="B7" i="37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24" i="34"/>
  <c r="B23" i="34"/>
  <c r="B22" i="34"/>
  <c r="B21" i="34"/>
  <c r="B20" i="34"/>
  <c r="B19" i="34"/>
  <c r="B18" i="34"/>
  <c r="B17" i="34"/>
  <c r="B16" i="34"/>
  <c r="B15" i="34"/>
  <c r="B14" i="34"/>
  <c r="B13" i="34"/>
  <c r="B11" i="34"/>
  <c r="B8" i="34"/>
  <c r="B7" i="34"/>
  <c r="I56" i="59"/>
  <c r="J56" i="59" s="1"/>
  <c r="I55" i="59"/>
  <c r="J55" i="59" s="1"/>
  <c r="I54" i="59"/>
  <c r="J54" i="59" s="1"/>
  <c r="I53" i="59"/>
  <c r="J53" i="59" s="1"/>
  <c r="I52" i="59"/>
  <c r="J52" i="59" s="1"/>
  <c r="I51" i="59"/>
  <c r="J51" i="59" s="1"/>
  <c r="I49" i="59"/>
  <c r="J49" i="59" s="1"/>
  <c r="I48" i="59"/>
  <c r="J48" i="59" s="1"/>
  <c r="I47" i="59"/>
  <c r="J47" i="59" s="1"/>
  <c r="I46" i="59"/>
  <c r="J46" i="59" s="1"/>
  <c r="I45" i="59"/>
  <c r="J45" i="59" s="1"/>
  <c r="I44" i="59"/>
  <c r="J44" i="59" s="1"/>
  <c r="I42" i="59"/>
  <c r="J42" i="59" s="1"/>
  <c r="I41" i="59"/>
  <c r="J41" i="59" s="1"/>
  <c r="I40" i="59"/>
  <c r="J40" i="59" s="1"/>
  <c r="I39" i="59"/>
  <c r="J39" i="59" s="1"/>
  <c r="I38" i="59"/>
  <c r="J38" i="59" s="1"/>
  <c r="I37" i="59"/>
  <c r="J37" i="59" s="1"/>
  <c r="E12" i="59"/>
  <c r="E4" i="59"/>
  <c r="E3" i="59"/>
  <c r="E18" i="59" s="1"/>
  <c r="D12" i="59"/>
  <c r="D4" i="59"/>
  <c r="D3" i="59"/>
  <c r="C12" i="59"/>
  <c r="C4" i="59"/>
  <c r="C3" i="59"/>
  <c r="D47" i="59"/>
  <c r="N33" i="59"/>
  <c r="L33" i="59"/>
  <c r="B35" i="59" s="1"/>
  <c r="M31" i="59"/>
  <c r="K31" i="59"/>
  <c r="K33" i="59" s="1"/>
  <c r="B34" i="59" s="1"/>
  <c r="J31" i="59"/>
  <c r="J33" i="59" s="1"/>
  <c r="I56" i="58"/>
  <c r="J56" i="58" s="1"/>
  <c r="I55" i="58"/>
  <c r="J55" i="58" s="1"/>
  <c r="I54" i="58"/>
  <c r="J54" i="58" s="1"/>
  <c r="I53" i="58"/>
  <c r="J53" i="58" s="1"/>
  <c r="I52" i="58"/>
  <c r="J52" i="58" s="1"/>
  <c r="I51" i="58"/>
  <c r="J51" i="58" s="1"/>
  <c r="I49" i="58"/>
  <c r="J49" i="58" s="1"/>
  <c r="I48" i="58"/>
  <c r="J48" i="58" s="1"/>
  <c r="I47" i="58"/>
  <c r="J47" i="58" s="1"/>
  <c r="I46" i="58"/>
  <c r="J46" i="58" s="1"/>
  <c r="I45" i="58"/>
  <c r="J45" i="58" s="1"/>
  <c r="I44" i="58"/>
  <c r="J44" i="58" s="1"/>
  <c r="I42" i="58"/>
  <c r="J42" i="58" s="1"/>
  <c r="I41" i="58"/>
  <c r="J41" i="58" s="1"/>
  <c r="I40" i="58"/>
  <c r="J40" i="58" s="1"/>
  <c r="I39" i="58"/>
  <c r="J39" i="58" s="1"/>
  <c r="I38" i="58"/>
  <c r="J38" i="58" s="1"/>
  <c r="I37" i="58"/>
  <c r="J37" i="58" s="1"/>
  <c r="E12" i="58"/>
  <c r="E4" i="58"/>
  <c r="D12" i="58"/>
  <c r="D4" i="58"/>
  <c r="C12" i="58"/>
  <c r="C4" i="58"/>
  <c r="E3" i="58"/>
  <c r="D3" i="58"/>
  <c r="C3" i="58"/>
  <c r="D47" i="58"/>
  <c r="N33" i="58"/>
  <c r="L33" i="58"/>
  <c r="B35" i="58" s="1"/>
  <c r="M31" i="58"/>
  <c r="M33" i="58" s="1"/>
  <c r="B36" i="58" s="1"/>
  <c r="K31" i="58"/>
  <c r="K33" i="58" s="1"/>
  <c r="B34" i="58" s="1"/>
  <c r="J31" i="58"/>
  <c r="I56" i="57"/>
  <c r="J56" i="57" s="1"/>
  <c r="I55" i="57"/>
  <c r="J55" i="57" s="1"/>
  <c r="I54" i="57"/>
  <c r="J54" i="57" s="1"/>
  <c r="I53" i="57"/>
  <c r="J53" i="57" s="1"/>
  <c r="I52" i="57"/>
  <c r="J52" i="57" s="1"/>
  <c r="I51" i="57"/>
  <c r="J51" i="57" s="1"/>
  <c r="I49" i="57"/>
  <c r="J49" i="57" s="1"/>
  <c r="I48" i="57"/>
  <c r="J48" i="57" s="1"/>
  <c r="I47" i="57"/>
  <c r="J47" i="57" s="1"/>
  <c r="I46" i="57"/>
  <c r="J46" i="57" s="1"/>
  <c r="I45" i="57"/>
  <c r="J45" i="57" s="1"/>
  <c r="I44" i="57"/>
  <c r="J44" i="57" s="1"/>
  <c r="I42" i="57"/>
  <c r="J42" i="57" s="1"/>
  <c r="I41" i="57"/>
  <c r="J41" i="57" s="1"/>
  <c r="I40" i="57"/>
  <c r="J40" i="57" s="1"/>
  <c r="I39" i="57"/>
  <c r="J39" i="57" s="1"/>
  <c r="I38" i="57"/>
  <c r="J38" i="57" s="1"/>
  <c r="I37" i="57"/>
  <c r="J37" i="57" s="1"/>
  <c r="E12" i="57"/>
  <c r="E4" i="57"/>
  <c r="D12" i="57"/>
  <c r="D4" i="57"/>
  <c r="C12" i="57"/>
  <c r="C4" i="57"/>
  <c r="E3" i="57"/>
  <c r="E14" i="57" s="1"/>
  <c r="D3" i="57"/>
  <c r="D11" i="57" s="1"/>
  <c r="C3" i="57"/>
  <c r="D47" i="57"/>
  <c r="N33" i="57"/>
  <c r="L33" i="57"/>
  <c r="B35" i="57" s="1"/>
  <c r="M31" i="57"/>
  <c r="M33" i="57" s="1"/>
  <c r="B36" i="57" s="1"/>
  <c r="K31" i="57"/>
  <c r="K33" i="57" s="1"/>
  <c r="B34" i="57" s="1"/>
  <c r="J31" i="57"/>
  <c r="O31" i="57" s="1"/>
  <c r="I56" i="56"/>
  <c r="J56" i="56" s="1"/>
  <c r="I55" i="56"/>
  <c r="J55" i="56" s="1"/>
  <c r="I54" i="56"/>
  <c r="J54" i="56" s="1"/>
  <c r="I53" i="56"/>
  <c r="J53" i="56" s="1"/>
  <c r="I52" i="56"/>
  <c r="J52" i="56" s="1"/>
  <c r="I51" i="56"/>
  <c r="J51" i="56" s="1"/>
  <c r="I49" i="56"/>
  <c r="J49" i="56" s="1"/>
  <c r="I48" i="56"/>
  <c r="J48" i="56" s="1"/>
  <c r="I47" i="56"/>
  <c r="J47" i="56" s="1"/>
  <c r="I46" i="56"/>
  <c r="J46" i="56" s="1"/>
  <c r="I45" i="56"/>
  <c r="J45" i="56" s="1"/>
  <c r="I44" i="56"/>
  <c r="J44" i="56" s="1"/>
  <c r="I42" i="56"/>
  <c r="J42" i="56" s="1"/>
  <c r="I41" i="56"/>
  <c r="J41" i="56" s="1"/>
  <c r="I40" i="56"/>
  <c r="J40" i="56" s="1"/>
  <c r="I39" i="56"/>
  <c r="J39" i="56" s="1"/>
  <c r="I38" i="56"/>
  <c r="J38" i="56" s="1"/>
  <c r="I37" i="56"/>
  <c r="J37" i="56" s="1"/>
  <c r="E12" i="56"/>
  <c r="E4" i="56"/>
  <c r="E3" i="56"/>
  <c r="D12" i="56"/>
  <c r="D4" i="56"/>
  <c r="D3" i="56"/>
  <c r="C12" i="56"/>
  <c r="C4" i="56"/>
  <c r="C3" i="56"/>
  <c r="D47" i="56"/>
  <c r="N33" i="56"/>
  <c r="L33" i="56"/>
  <c r="B35" i="56" s="1"/>
  <c r="M31" i="56"/>
  <c r="M33" i="56" s="1"/>
  <c r="B36" i="56" s="1"/>
  <c r="K31" i="56"/>
  <c r="K33" i="56" s="1"/>
  <c r="B34" i="56" s="1"/>
  <c r="J31" i="56"/>
  <c r="J33" i="56" s="1"/>
  <c r="C16" i="56"/>
  <c r="I56" i="55"/>
  <c r="J56" i="55" s="1"/>
  <c r="I55" i="55"/>
  <c r="J55" i="55" s="1"/>
  <c r="I54" i="55"/>
  <c r="J54" i="55" s="1"/>
  <c r="I53" i="55"/>
  <c r="J53" i="55" s="1"/>
  <c r="I52" i="55"/>
  <c r="J52" i="55" s="1"/>
  <c r="I51" i="55"/>
  <c r="J51" i="55" s="1"/>
  <c r="I49" i="55"/>
  <c r="J49" i="55" s="1"/>
  <c r="I48" i="55"/>
  <c r="J48" i="55" s="1"/>
  <c r="I47" i="55"/>
  <c r="J47" i="55" s="1"/>
  <c r="I46" i="55"/>
  <c r="J46" i="55" s="1"/>
  <c r="I45" i="55"/>
  <c r="J45" i="55" s="1"/>
  <c r="I44" i="55"/>
  <c r="J44" i="55" s="1"/>
  <c r="I42" i="55"/>
  <c r="J42" i="55" s="1"/>
  <c r="I41" i="55"/>
  <c r="J41" i="55" s="1"/>
  <c r="I40" i="55"/>
  <c r="J40" i="55" s="1"/>
  <c r="I39" i="55"/>
  <c r="J39" i="55" s="1"/>
  <c r="I38" i="55"/>
  <c r="J38" i="55" s="1"/>
  <c r="I37" i="55"/>
  <c r="J37" i="55" s="1"/>
  <c r="E12" i="55"/>
  <c r="E4" i="55"/>
  <c r="E3" i="55"/>
  <c r="D12" i="55"/>
  <c r="D4" i="55"/>
  <c r="D3" i="55"/>
  <c r="C12" i="55"/>
  <c r="C4" i="55"/>
  <c r="C3" i="55"/>
  <c r="C15" i="55" s="1"/>
  <c r="D47" i="55"/>
  <c r="N33" i="55"/>
  <c r="L33" i="55"/>
  <c r="B35" i="55" s="1"/>
  <c r="M31" i="55"/>
  <c r="M33" i="55" s="1"/>
  <c r="B36" i="55" s="1"/>
  <c r="K31" i="55"/>
  <c r="K33" i="55" s="1"/>
  <c r="B34" i="55" s="1"/>
  <c r="J31" i="55"/>
  <c r="J33" i="55" s="1"/>
  <c r="I56" i="54"/>
  <c r="J56" i="54" s="1"/>
  <c r="I55" i="54"/>
  <c r="J55" i="54" s="1"/>
  <c r="I54" i="54"/>
  <c r="J54" i="54" s="1"/>
  <c r="I53" i="54"/>
  <c r="J53" i="54" s="1"/>
  <c r="I52" i="54"/>
  <c r="J52" i="54" s="1"/>
  <c r="I51" i="54"/>
  <c r="J51" i="54" s="1"/>
  <c r="I49" i="54"/>
  <c r="J49" i="54" s="1"/>
  <c r="I48" i="54"/>
  <c r="J48" i="54" s="1"/>
  <c r="I47" i="54"/>
  <c r="J47" i="54" s="1"/>
  <c r="I46" i="54"/>
  <c r="J46" i="54" s="1"/>
  <c r="I45" i="54"/>
  <c r="J45" i="54" s="1"/>
  <c r="I44" i="54"/>
  <c r="J44" i="54" s="1"/>
  <c r="I42" i="54"/>
  <c r="I41" i="54"/>
  <c r="J41" i="54" s="1"/>
  <c r="I40" i="54"/>
  <c r="J40" i="54" s="1"/>
  <c r="I39" i="54"/>
  <c r="J39" i="54" s="1"/>
  <c r="I38" i="54"/>
  <c r="J38" i="54" s="1"/>
  <c r="I37" i="54"/>
  <c r="J37" i="54" s="1"/>
  <c r="E12" i="54"/>
  <c r="E4" i="54"/>
  <c r="E3" i="54"/>
  <c r="D12" i="54"/>
  <c r="D4" i="54"/>
  <c r="D3" i="54"/>
  <c r="D17" i="54" s="1"/>
  <c r="C12" i="54"/>
  <c r="C4" i="54"/>
  <c r="C3" i="54"/>
  <c r="C17" i="54" s="1"/>
  <c r="D47" i="54"/>
  <c r="J42" i="54"/>
  <c r="N33" i="54"/>
  <c r="L33" i="54"/>
  <c r="B35" i="54" s="1"/>
  <c r="M31" i="54"/>
  <c r="M33" i="54" s="1"/>
  <c r="B36" i="54" s="1"/>
  <c r="K31" i="54"/>
  <c r="K33" i="54" s="1"/>
  <c r="B34" i="54" s="1"/>
  <c r="J31" i="54"/>
  <c r="E17" i="54"/>
  <c r="I56" i="53"/>
  <c r="J56" i="53" s="1"/>
  <c r="I55" i="53"/>
  <c r="J55" i="53" s="1"/>
  <c r="I54" i="53"/>
  <c r="J54" i="53" s="1"/>
  <c r="I53" i="53"/>
  <c r="J53" i="53" s="1"/>
  <c r="I52" i="53"/>
  <c r="J52" i="53" s="1"/>
  <c r="I51" i="53"/>
  <c r="J51" i="53" s="1"/>
  <c r="I49" i="53"/>
  <c r="J49" i="53" s="1"/>
  <c r="I48" i="53"/>
  <c r="J48" i="53" s="1"/>
  <c r="I47" i="53"/>
  <c r="J47" i="53" s="1"/>
  <c r="I46" i="53"/>
  <c r="J46" i="53" s="1"/>
  <c r="I45" i="53"/>
  <c r="J45" i="53" s="1"/>
  <c r="I44" i="53"/>
  <c r="J44" i="53" s="1"/>
  <c r="I42" i="53"/>
  <c r="J42" i="53" s="1"/>
  <c r="I41" i="53"/>
  <c r="J41" i="53" s="1"/>
  <c r="I40" i="53"/>
  <c r="J40" i="53" s="1"/>
  <c r="I39" i="53"/>
  <c r="J39" i="53" s="1"/>
  <c r="I38" i="53"/>
  <c r="J38" i="53" s="1"/>
  <c r="I37" i="53"/>
  <c r="J37" i="53" s="1"/>
  <c r="E12" i="53"/>
  <c r="E4" i="53"/>
  <c r="E3" i="53"/>
  <c r="E15" i="53" s="1"/>
  <c r="D12" i="53"/>
  <c r="D4" i="53"/>
  <c r="D3" i="53"/>
  <c r="D5" i="53" s="1"/>
  <c r="C12" i="53"/>
  <c r="C4" i="53"/>
  <c r="C3" i="53"/>
  <c r="D47" i="53"/>
  <c r="N33" i="53"/>
  <c r="L33" i="53"/>
  <c r="B35" i="53" s="1"/>
  <c r="M31" i="53"/>
  <c r="M33" i="53" s="1"/>
  <c r="B36" i="53" s="1"/>
  <c r="K31" i="53"/>
  <c r="K33" i="53" s="1"/>
  <c r="B34" i="53" s="1"/>
  <c r="J31" i="53"/>
  <c r="I56" i="52"/>
  <c r="J56" i="52" s="1"/>
  <c r="I55" i="52"/>
  <c r="J55" i="52" s="1"/>
  <c r="I54" i="52"/>
  <c r="J54" i="52" s="1"/>
  <c r="I53" i="52"/>
  <c r="J53" i="52" s="1"/>
  <c r="I52" i="52"/>
  <c r="J52" i="52" s="1"/>
  <c r="I51" i="52"/>
  <c r="J51" i="52" s="1"/>
  <c r="I49" i="52"/>
  <c r="J49" i="52" s="1"/>
  <c r="I48" i="52"/>
  <c r="J48" i="52" s="1"/>
  <c r="I47" i="52"/>
  <c r="J47" i="52" s="1"/>
  <c r="I46" i="52"/>
  <c r="J46" i="52" s="1"/>
  <c r="I45" i="52"/>
  <c r="J45" i="52" s="1"/>
  <c r="I44" i="52"/>
  <c r="J44" i="52" s="1"/>
  <c r="I42" i="52"/>
  <c r="J42" i="52" s="1"/>
  <c r="I41" i="52"/>
  <c r="J41" i="52" s="1"/>
  <c r="I40" i="52"/>
  <c r="J40" i="52" s="1"/>
  <c r="I39" i="52"/>
  <c r="J39" i="52" s="1"/>
  <c r="I38" i="52"/>
  <c r="J38" i="52" s="1"/>
  <c r="I37" i="52"/>
  <c r="J37" i="52" s="1"/>
  <c r="E12" i="52"/>
  <c r="E4" i="52"/>
  <c r="D12" i="52"/>
  <c r="D4" i="52"/>
  <c r="C12" i="52"/>
  <c r="C4" i="52"/>
  <c r="E3" i="52"/>
  <c r="E14" i="52" s="1"/>
  <c r="D3" i="52"/>
  <c r="C3" i="52"/>
  <c r="D47" i="52"/>
  <c r="N33" i="52"/>
  <c r="L33" i="52"/>
  <c r="B35" i="52" s="1"/>
  <c r="M31" i="52"/>
  <c r="M33" i="52" s="1"/>
  <c r="B36" i="52" s="1"/>
  <c r="K31" i="52"/>
  <c r="K33" i="52" s="1"/>
  <c r="B34" i="52" s="1"/>
  <c r="J31" i="52"/>
  <c r="I56" i="51"/>
  <c r="J56" i="51" s="1"/>
  <c r="I55" i="51"/>
  <c r="J55" i="51" s="1"/>
  <c r="I54" i="51"/>
  <c r="J54" i="51" s="1"/>
  <c r="I53" i="51"/>
  <c r="J53" i="51" s="1"/>
  <c r="I52" i="51"/>
  <c r="J52" i="51" s="1"/>
  <c r="I51" i="51"/>
  <c r="J51" i="51" s="1"/>
  <c r="I49" i="51"/>
  <c r="J49" i="51" s="1"/>
  <c r="I48" i="51"/>
  <c r="J48" i="51" s="1"/>
  <c r="I47" i="51"/>
  <c r="J47" i="51" s="1"/>
  <c r="I46" i="51"/>
  <c r="J46" i="51" s="1"/>
  <c r="I45" i="51"/>
  <c r="J45" i="51" s="1"/>
  <c r="I44" i="51"/>
  <c r="J44" i="51" s="1"/>
  <c r="I42" i="51"/>
  <c r="J42" i="51" s="1"/>
  <c r="I41" i="51"/>
  <c r="J41" i="51" s="1"/>
  <c r="I40" i="51"/>
  <c r="J40" i="51" s="1"/>
  <c r="I39" i="51"/>
  <c r="J39" i="51" s="1"/>
  <c r="I38" i="51"/>
  <c r="J38" i="51" s="1"/>
  <c r="I37" i="51"/>
  <c r="J37" i="51" s="1"/>
  <c r="E12" i="51"/>
  <c r="E4" i="51"/>
  <c r="D12" i="51"/>
  <c r="D4" i="51"/>
  <c r="C12" i="51"/>
  <c r="C4" i="51"/>
  <c r="E3" i="51"/>
  <c r="D3" i="51"/>
  <c r="D5" i="51" s="1"/>
  <c r="C3" i="51"/>
  <c r="D47" i="51"/>
  <c r="N33" i="51"/>
  <c r="L33" i="51"/>
  <c r="B35" i="51" s="1"/>
  <c r="M31" i="51"/>
  <c r="M33" i="51" s="1"/>
  <c r="B36" i="51" s="1"/>
  <c r="K31" i="51"/>
  <c r="K33" i="51" s="1"/>
  <c r="B34" i="51" s="1"/>
  <c r="J31" i="51"/>
  <c r="I56" i="50"/>
  <c r="J56" i="50" s="1"/>
  <c r="I55" i="50"/>
  <c r="J55" i="50" s="1"/>
  <c r="I54" i="50"/>
  <c r="J54" i="50" s="1"/>
  <c r="I53" i="50"/>
  <c r="I52" i="50"/>
  <c r="J52" i="50" s="1"/>
  <c r="I51" i="50"/>
  <c r="J51" i="50" s="1"/>
  <c r="I49" i="50"/>
  <c r="J49" i="50" s="1"/>
  <c r="I48" i="50"/>
  <c r="J48" i="50" s="1"/>
  <c r="I47" i="50"/>
  <c r="I46" i="50"/>
  <c r="J46" i="50" s="1"/>
  <c r="I45" i="50"/>
  <c r="J45" i="50" s="1"/>
  <c r="I44" i="50"/>
  <c r="J44" i="50" s="1"/>
  <c r="I42" i="50"/>
  <c r="J42" i="50" s="1"/>
  <c r="I41" i="50"/>
  <c r="J41" i="50" s="1"/>
  <c r="I40" i="50"/>
  <c r="J40" i="50" s="1"/>
  <c r="I39" i="50"/>
  <c r="J39" i="50" s="1"/>
  <c r="I38" i="50"/>
  <c r="I37" i="50"/>
  <c r="J37" i="50" s="1"/>
  <c r="E12" i="50"/>
  <c r="E4" i="50"/>
  <c r="D12" i="50"/>
  <c r="D4" i="50"/>
  <c r="C12" i="50"/>
  <c r="C4" i="50"/>
  <c r="E3" i="50"/>
  <c r="D3" i="50"/>
  <c r="C3" i="50"/>
  <c r="J53" i="50"/>
  <c r="J47" i="50"/>
  <c r="D47" i="50"/>
  <c r="J38" i="50"/>
  <c r="N33" i="50"/>
  <c r="L33" i="50"/>
  <c r="B35" i="50" s="1"/>
  <c r="M31" i="50"/>
  <c r="M33" i="50" s="1"/>
  <c r="B36" i="50" s="1"/>
  <c r="K31" i="50"/>
  <c r="K33" i="50" s="1"/>
  <c r="B34" i="50" s="1"/>
  <c r="J31" i="50"/>
  <c r="O31" i="50" s="1"/>
  <c r="B6" i="50"/>
  <c r="I56" i="49"/>
  <c r="J56" i="49" s="1"/>
  <c r="I55" i="49"/>
  <c r="J55" i="49" s="1"/>
  <c r="I54" i="49"/>
  <c r="J54" i="49" s="1"/>
  <c r="I53" i="49"/>
  <c r="J53" i="49" s="1"/>
  <c r="I52" i="49"/>
  <c r="J52" i="49" s="1"/>
  <c r="I51" i="49"/>
  <c r="J51" i="49" s="1"/>
  <c r="I49" i="49"/>
  <c r="J49" i="49" s="1"/>
  <c r="I48" i="49"/>
  <c r="J48" i="49" s="1"/>
  <c r="I47" i="49"/>
  <c r="J47" i="49" s="1"/>
  <c r="I46" i="49"/>
  <c r="J46" i="49" s="1"/>
  <c r="I45" i="49"/>
  <c r="J45" i="49" s="1"/>
  <c r="I44" i="49"/>
  <c r="J44" i="49" s="1"/>
  <c r="I42" i="49"/>
  <c r="J42" i="49" s="1"/>
  <c r="I41" i="49"/>
  <c r="J41" i="49" s="1"/>
  <c r="I40" i="49"/>
  <c r="J40" i="49" s="1"/>
  <c r="I39" i="49"/>
  <c r="J39" i="49" s="1"/>
  <c r="I38" i="49"/>
  <c r="J38" i="49" s="1"/>
  <c r="I37" i="49"/>
  <c r="J37" i="49" s="1"/>
  <c r="E12" i="49"/>
  <c r="E4" i="49"/>
  <c r="D12" i="49"/>
  <c r="D4" i="49"/>
  <c r="C12" i="49"/>
  <c r="C4" i="49"/>
  <c r="E3" i="49"/>
  <c r="E14" i="49" s="1"/>
  <c r="D3" i="49"/>
  <c r="D5" i="49" s="1"/>
  <c r="C3" i="49"/>
  <c r="D47" i="49"/>
  <c r="N33" i="49"/>
  <c r="L33" i="49"/>
  <c r="B35" i="49" s="1"/>
  <c r="M31" i="49"/>
  <c r="M33" i="49" s="1"/>
  <c r="B36" i="49" s="1"/>
  <c r="K31" i="49"/>
  <c r="K33" i="49" s="1"/>
  <c r="B34" i="49" s="1"/>
  <c r="J31" i="49"/>
  <c r="J33" i="49" s="1"/>
  <c r="I56" i="48"/>
  <c r="J56" i="48" s="1"/>
  <c r="I55" i="48"/>
  <c r="J55" i="48" s="1"/>
  <c r="I54" i="48"/>
  <c r="J54" i="48" s="1"/>
  <c r="I53" i="48"/>
  <c r="J53" i="48" s="1"/>
  <c r="I52" i="48"/>
  <c r="J52" i="48" s="1"/>
  <c r="I51" i="48"/>
  <c r="J51" i="48" s="1"/>
  <c r="I49" i="48"/>
  <c r="J49" i="48" s="1"/>
  <c r="I48" i="48"/>
  <c r="J48" i="48" s="1"/>
  <c r="I47" i="48"/>
  <c r="J47" i="48" s="1"/>
  <c r="I46" i="48"/>
  <c r="J46" i="48" s="1"/>
  <c r="I45" i="48"/>
  <c r="J45" i="48" s="1"/>
  <c r="I44" i="48"/>
  <c r="J44" i="48" s="1"/>
  <c r="E12" i="48"/>
  <c r="E4" i="48"/>
  <c r="E3" i="48"/>
  <c r="E15" i="48" s="1"/>
  <c r="D12" i="48"/>
  <c r="D4" i="48"/>
  <c r="I42" i="48"/>
  <c r="J42" i="48" s="1"/>
  <c r="I41" i="48"/>
  <c r="J41" i="48" s="1"/>
  <c r="I40" i="48"/>
  <c r="J40" i="48" s="1"/>
  <c r="I39" i="48"/>
  <c r="J39" i="48" s="1"/>
  <c r="I38" i="48"/>
  <c r="J38" i="48" s="1"/>
  <c r="I37" i="48"/>
  <c r="J37" i="48" s="1"/>
  <c r="C12" i="48"/>
  <c r="C4" i="48"/>
  <c r="D3" i="48"/>
  <c r="C3" i="48"/>
  <c r="C13" i="48" s="1"/>
  <c r="D47" i="48"/>
  <c r="N33" i="48"/>
  <c r="L33" i="48"/>
  <c r="B35" i="48" s="1"/>
  <c r="M31" i="48"/>
  <c r="M33" i="48" s="1"/>
  <c r="B36" i="48" s="1"/>
  <c r="K31" i="48"/>
  <c r="K33" i="48" s="1"/>
  <c r="B34" i="48" s="1"/>
  <c r="J31" i="48"/>
  <c r="I56" i="33"/>
  <c r="J56" i="33" s="1"/>
  <c r="I55" i="33"/>
  <c r="J55" i="33" s="1"/>
  <c r="I54" i="33"/>
  <c r="J54" i="33" s="1"/>
  <c r="I53" i="33"/>
  <c r="I52" i="33"/>
  <c r="J52" i="33" s="1"/>
  <c r="I51" i="33"/>
  <c r="J51" i="33" s="1"/>
  <c r="I49" i="33"/>
  <c r="J49" i="33" s="1"/>
  <c r="I48" i="33"/>
  <c r="J48" i="33" s="1"/>
  <c r="I47" i="33"/>
  <c r="J47" i="33" s="1"/>
  <c r="I46" i="33"/>
  <c r="J46" i="33" s="1"/>
  <c r="I45" i="33"/>
  <c r="J45" i="33" s="1"/>
  <c r="I44" i="33"/>
  <c r="J44" i="33" s="1"/>
  <c r="I42" i="33"/>
  <c r="J42" i="33" s="1"/>
  <c r="I41" i="33"/>
  <c r="J41" i="33" s="1"/>
  <c r="I40" i="33"/>
  <c r="J40" i="33" s="1"/>
  <c r="I39" i="33"/>
  <c r="J39" i="33" s="1"/>
  <c r="I38" i="33"/>
  <c r="J38" i="33" s="1"/>
  <c r="I37" i="33"/>
  <c r="J37" i="33" s="1"/>
  <c r="E12" i="33"/>
  <c r="E4" i="33"/>
  <c r="E3" i="33"/>
  <c r="E5" i="33" s="1"/>
  <c r="D12" i="33"/>
  <c r="D4" i="33"/>
  <c r="D3" i="33"/>
  <c r="D16" i="33" s="1"/>
  <c r="C12" i="33"/>
  <c r="C4" i="33"/>
  <c r="C3" i="33"/>
  <c r="C15" i="33" s="1"/>
  <c r="J53" i="33"/>
  <c r="D47" i="33"/>
  <c r="N33" i="33"/>
  <c r="L33" i="33"/>
  <c r="B35" i="33" s="1"/>
  <c r="M31" i="33"/>
  <c r="M33" i="33" s="1"/>
  <c r="B36" i="33" s="1"/>
  <c r="K31" i="33"/>
  <c r="K33" i="33" s="1"/>
  <c r="B34" i="33" s="1"/>
  <c r="J31" i="33"/>
  <c r="I56" i="32"/>
  <c r="J56" i="32" s="1"/>
  <c r="I55" i="32"/>
  <c r="J55" i="32" s="1"/>
  <c r="I54" i="32"/>
  <c r="J54" i="32" s="1"/>
  <c r="I53" i="32"/>
  <c r="J53" i="32" s="1"/>
  <c r="I52" i="32"/>
  <c r="J52" i="32" s="1"/>
  <c r="I51" i="32"/>
  <c r="J51" i="32" s="1"/>
  <c r="I49" i="32"/>
  <c r="J49" i="32" s="1"/>
  <c r="I48" i="32"/>
  <c r="J48" i="32" s="1"/>
  <c r="I47" i="32"/>
  <c r="J47" i="32" s="1"/>
  <c r="I46" i="32"/>
  <c r="J46" i="32" s="1"/>
  <c r="I45" i="32"/>
  <c r="J45" i="32" s="1"/>
  <c r="I44" i="32"/>
  <c r="J44" i="32" s="1"/>
  <c r="I42" i="32"/>
  <c r="J42" i="32" s="1"/>
  <c r="I41" i="32"/>
  <c r="J41" i="32" s="1"/>
  <c r="I40" i="32"/>
  <c r="J40" i="32" s="1"/>
  <c r="I39" i="32"/>
  <c r="J39" i="32" s="1"/>
  <c r="I38" i="32"/>
  <c r="J38" i="32" s="1"/>
  <c r="I37" i="32"/>
  <c r="J37" i="32" s="1"/>
  <c r="E12" i="32"/>
  <c r="E4" i="32"/>
  <c r="E3" i="32"/>
  <c r="D12" i="32"/>
  <c r="D4" i="32"/>
  <c r="D3" i="32"/>
  <c r="C12" i="32"/>
  <c r="C4" i="32"/>
  <c r="C3" i="32"/>
  <c r="D47" i="32"/>
  <c r="N33" i="32"/>
  <c r="L33" i="32"/>
  <c r="B35" i="32" s="1"/>
  <c r="M31" i="32"/>
  <c r="M33" i="32" s="1"/>
  <c r="B36" i="32" s="1"/>
  <c r="K31" i="32"/>
  <c r="K33" i="32" s="1"/>
  <c r="B34" i="32" s="1"/>
  <c r="J31" i="32"/>
  <c r="J33" i="32" s="1"/>
  <c r="I56" i="47"/>
  <c r="J56" i="47" s="1"/>
  <c r="I55" i="47"/>
  <c r="J55" i="47" s="1"/>
  <c r="I54" i="47"/>
  <c r="J54" i="47" s="1"/>
  <c r="I53" i="47"/>
  <c r="J53" i="47" s="1"/>
  <c r="I52" i="47"/>
  <c r="J52" i="47" s="1"/>
  <c r="I51" i="47"/>
  <c r="J51" i="47" s="1"/>
  <c r="I49" i="47"/>
  <c r="I48" i="47"/>
  <c r="J48" i="47" s="1"/>
  <c r="I47" i="47"/>
  <c r="J47" i="47" s="1"/>
  <c r="I46" i="47"/>
  <c r="J46" i="47" s="1"/>
  <c r="I45" i="47"/>
  <c r="J45" i="47" s="1"/>
  <c r="I44" i="47"/>
  <c r="J44" i="47" s="1"/>
  <c r="I42" i="47"/>
  <c r="J42" i="47" s="1"/>
  <c r="I41" i="47"/>
  <c r="J41" i="47" s="1"/>
  <c r="I40" i="47"/>
  <c r="I39" i="47"/>
  <c r="J39" i="47" s="1"/>
  <c r="I38" i="47"/>
  <c r="J38" i="47" s="1"/>
  <c r="I37" i="47"/>
  <c r="J37" i="47" s="1"/>
  <c r="E12" i="47"/>
  <c r="E4" i="47"/>
  <c r="E3" i="47"/>
  <c r="D12" i="47"/>
  <c r="D4" i="47"/>
  <c r="D3" i="47"/>
  <c r="C12" i="47"/>
  <c r="C4" i="47"/>
  <c r="C3" i="47"/>
  <c r="J49" i="47"/>
  <c r="D47" i="47"/>
  <c r="J40" i="47"/>
  <c r="N33" i="47"/>
  <c r="M33" i="47"/>
  <c r="B36" i="47" s="1"/>
  <c r="L33" i="47"/>
  <c r="B35" i="47" s="1"/>
  <c r="O31" i="47"/>
  <c r="M31" i="47"/>
  <c r="K31" i="47"/>
  <c r="K33" i="47" s="1"/>
  <c r="B34" i="47" s="1"/>
  <c r="J31" i="47"/>
  <c r="J33" i="47" s="1"/>
  <c r="I56" i="46"/>
  <c r="J56" i="46" s="1"/>
  <c r="I55" i="46"/>
  <c r="J55" i="46" s="1"/>
  <c r="I54" i="46"/>
  <c r="J54" i="46" s="1"/>
  <c r="I53" i="46"/>
  <c r="J53" i="46" s="1"/>
  <c r="I52" i="46"/>
  <c r="J52" i="46" s="1"/>
  <c r="I51" i="46"/>
  <c r="J51" i="46" s="1"/>
  <c r="I49" i="46"/>
  <c r="J49" i="46" s="1"/>
  <c r="I48" i="46"/>
  <c r="J48" i="46" s="1"/>
  <c r="I47" i="46"/>
  <c r="I46" i="46"/>
  <c r="J46" i="46" s="1"/>
  <c r="I45" i="46"/>
  <c r="J45" i="46" s="1"/>
  <c r="I44" i="46"/>
  <c r="J44" i="46" s="1"/>
  <c r="I42" i="46"/>
  <c r="J42" i="46" s="1"/>
  <c r="I41" i="46"/>
  <c r="J41" i="46" s="1"/>
  <c r="I40" i="46"/>
  <c r="J40" i="46" s="1"/>
  <c r="I39" i="46"/>
  <c r="I38" i="46"/>
  <c r="I37" i="46"/>
  <c r="J37" i="46" s="1"/>
  <c r="E12" i="46"/>
  <c r="E4" i="46"/>
  <c r="E3" i="46"/>
  <c r="D12" i="46"/>
  <c r="D4" i="46"/>
  <c r="D3" i="46"/>
  <c r="D5" i="46" s="1"/>
  <c r="C12" i="46"/>
  <c r="C4" i="46"/>
  <c r="C3" i="46"/>
  <c r="C18" i="46" s="1"/>
  <c r="J47" i="46"/>
  <c r="D47" i="46"/>
  <c r="J39" i="46"/>
  <c r="J38" i="46"/>
  <c r="N33" i="46"/>
  <c r="L33" i="46"/>
  <c r="B35" i="46" s="1"/>
  <c r="M31" i="46"/>
  <c r="M33" i="46" s="1"/>
  <c r="B36" i="46" s="1"/>
  <c r="K31" i="46"/>
  <c r="K33" i="46" s="1"/>
  <c r="B34" i="46" s="1"/>
  <c r="J31" i="46"/>
  <c r="I56" i="45"/>
  <c r="J56" i="45" s="1"/>
  <c r="I55" i="45"/>
  <c r="J55" i="45" s="1"/>
  <c r="I54" i="45"/>
  <c r="J54" i="45" s="1"/>
  <c r="I53" i="45"/>
  <c r="J53" i="45" s="1"/>
  <c r="I52" i="45"/>
  <c r="J52" i="45" s="1"/>
  <c r="I51" i="45"/>
  <c r="J51" i="45" s="1"/>
  <c r="I49" i="45"/>
  <c r="J49" i="45" s="1"/>
  <c r="I48" i="45"/>
  <c r="J48" i="45" s="1"/>
  <c r="I47" i="45"/>
  <c r="J47" i="45" s="1"/>
  <c r="I46" i="45"/>
  <c r="J46" i="45" s="1"/>
  <c r="I45" i="45"/>
  <c r="J45" i="45" s="1"/>
  <c r="I44" i="45"/>
  <c r="J44" i="45" s="1"/>
  <c r="I42" i="45"/>
  <c r="J42" i="45" s="1"/>
  <c r="I41" i="45"/>
  <c r="J41" i="45" s="1"/>
  <c r="I40" i="45"/>
  <c r="J40" i="45" s="1"/>
  <c r="I39" i="45"/>
  <c r="J39" i="45" s="1"/>
  <c r="I38" i="45"/>
  <c r="J38" i="45" s="1"/>
  <c r="I37" i="45"/>
  <c r="J37" i="45" s="1"/>
  <c r="E12" i="45"/>
  <c r="E4" i="45"/>
  <c r="E3" i="45"/>
  <c r="E15" i="45" s="1"/>
  <c r="D12" i="45"/>
  <c r="D4" i="45"/>
  <c r="D3" i="45"/>
  <c r="C12" i="45"/>
  <c r="C4" i="45"/>
  <c r="C3" i="45"/>
  <c r="C5" i="45" s="1"/>
  <c r="D47" i="45"/>
  <c r="N33" i="45"/>
  <c r="L33" i="45"/>
  <c r="B35" i="45" s="1"/>
  <c r="M31" i="45"/>
  <c r="M33" i="45" s="1"/>
  <c r="B36" i="45" s="1"/>
  <c r="K31" i="45"/>
  <c r="K33" i="45" s="1"/>
  <c r="B34" i="45" s="1"/>
  <c r="J31" i="45"/>
  <c r="J33" i="45" s="1"/>
  <c r="I56" i="44"/>
  <c r="J56" i="44" s="1"/>
  <c r="I55" i="44"/>
  <c r="J55" i="44" s="1"/>
  <c r="I54" i="44"/>
  <c r="J54" i="44" s="1"/>
  <c r="I53" i="44"/>
  <c r="J53" i="44" s="1"/>
  <c r="I52" i="44"/>
  <c r="J52" i="44" s="1"/>
  <c r="I51" i="44"/>
  <c r="J51" i="44" s="1"/>
  <c r="I49" i="44"/>
  <c r="J49" i="44" s="1"/>
  <c r="I48" i="44"/>
  <c r="J48" i="44" s="1"/>
  <c r="I47" i="44"/>
  <c r="J47" i="44" s="1"/>
  <c r="I46" i="44"/>
  <c r="J46" i="44" s="1"/>
  <c r="I45" i="44"/>
  <c r="J45" i="44" s="1"/>
  <c r="I44" i="44"/>
  <c r="J44" i="44" s="1"/>
  <c r="I42" i="44"/>
  <c r="J42" i="44" s="1"/>
  <c r="I41" i="44"/>
  <c r="J41" i="44" s="1"/>
  <c r="I40" i="44"/>
  <c r="J40" i="44" s="1"/>
  <c r="I39" i="44"/>
  <c r="J39" i="44" s="1"/>
  <c r="I38" i="44"/>
  <c r="J38" i="44" s="1"/>
  <c r="I37" i="44"/>
  <c r="J37" i="44" s="1"/>
  <c r="E12" i="44"/>
  <c r="E4" i="44"/>
  <c r="E3" i="44"/>
  <c r="E14" i="44" s="1"/>
  <c r="D12" i="44"/>
  <c r="D4" i="44"/>
  <c r="D3" i="44"/>
  <c r="C12" i="44"/>
  <c r="C4" i="44"/>
  <c r="C3" i="44"/>
  <c r="D47" i="44"/>
  <c r="N33" i="44"/>
  <c r="L33" i="44"/>
  <c r="B35" i="44" s="1"/>
  <c r="M31" i="44"/>
  <c r="M33" i="44" s="1"/>
  <c r="B36" i="44" s="1"/>
  <c r="K31" i="44"/>
  <c r="K33" i="44" s="1"/>
  <c r="B34" i="44" s="1"/>
  <c r="J31" i="44"/>
  <c r="J33" i="44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49" i="43"/>
  <c r="J49" i="43" s="1"/>
  <c r="I48" i="43"/>
  <c r="J48" i="43" s="1"/>
  <c r="I47" i="43"/>
  <c r="J47" i="43" s="1"/>
  <c r="I46" i="43"/>
  <c r="J46" i="43" s="1"/>
  <c r="I45" i="43"/>
  <c r="J45" i="43" s="1"/>
  <c r="I44" i="43"/>
  <c r="J44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E12" i="43"/>
  <c r="E4" i="43"/>
  <c r="E3" i="43"/>
  <c r="E14" i="43" s="1"/>
  <c r="D12" i="43"/>
  <c r="D4" i="43"/>
  <c r="D3" i="43"/>
  <c r="D11" i="43" s="1"/>
  <c r="C12" i="43"/>
  <c r="C4" i="43"/>
  <c r="C3" i="43"/>
  <c r="D47" i="43"/>
  <c r="N33" i="43"/>
  <c r="L33" i="43"/>
  <c r="B35" i="43" s="1"/>
  <c r="M31" i="43"/>
  <c r="M33" i="43" s="1"/>
  <c r="B36" i="43" s="1"/>
  <c r="K31" i="43"/>
  <c r="K33" i="43" s="1"/>
  <c r="B34" i="43" s="1"/>
  <c r="J31" i="43"/>
  <c r="B6" i="43"/>
  <c r="I56" i="31"/>
  <c r="J56" i="31" s="1"/>
  <c r="I55" i="31"/>
  <c r="J55" i="31" s="1"/>
  <c r="I54" i="31"/>
  <c r="J54" i="31" s="1"/>
  <c r="I53" i="31"/>
  <c r="I52" i="31"/>
  <c r="I51" i="31"/>
  <c r="J51" i="31" s="1"/>
  <c r="I49" i="31"/>
  <c r="J49" i="31" s="1"/>
  <c r="I48" i="31"/>
  <c r="J48" i="31" s="1"/>
  <c r="I47" i="31"/>
  <c r="J47" i="31" s="1"/>
  <c r="I46" i="31"/>
  <c r="J46" i="31" s="1"/>
  <c r="I45" i="31"/>
  <c r="J45" i="31" s="1"/>
  <c r="I44" i="31"/>
  <c r="I42" i="31"/>
  <c r="J42" i="31" s="1"/>
  <c r="I41" i="31"/>
  <c r="J41" i="31" s="1"/>
  <c r="I40" i="31"/>
  <c r="J40" i="31" s="1"/>
  <c r="I39" i="31"/>
  <c r="J39" i="31" s="1"/>
  <c r="I38" i="31"/>
  <c r="J38" i="31" s="1"/>
  <c r="I37" i="31"/>
  <c r="J37" i="31" s="1"/>
  <c r="E12" i="31"/>
  <c r="E4" i="31"/>
  <c r="E3" i="31"/>
  <c r="D12" i="31"/>
  <c r="D4" i="31"/>
  <c r="D3" i="31"/>
  <c r="D5" i="31" s="1"/>
  <c r="C12" i="31"/>
  <c r="C4" i="31"/>
  <c r="C3" i="31"/>
  <c r="J53" i="31"/>
  <c r="J52" i="31"/>
  <c r="D47" i="31"/>
  <c r="J44" i="31"/>
  <c r="N33" i="31"/>
  <c r="L33" i="31"/>
  <c r="B35" i="31" s="1"/>
  <c r="M31" i="31"/>
  <c r="M33" i="31" s="1"/>
  <c r="B36" i="31" s="1"/>
  <c r="K31" i="31"/>
  <c r="K33" i="31" s="1"/>
  <c r="B34" i="31" s="1"/>
  <c r="J31" i="31"/>
  <c r="O31" i="31" s="1"/>
  <c r="I56" i="16"/>
  <c r="J56" i="16" s="1"/>
  <c r="I55" i="16"/>
  <c r="J55" i="16" s="1"/>
  <c r="I54" i="16"/>
  <c r="J54" i="16" s="1"/>
  <c r="I53" i="16"/>
  <c r="J53" i="16" s="1"/>
  <c r="I52" i="16"/>
  <c r="J52" i="16" s="1"/>
  <c r="I51" i="16"/>
  <c r="J51" i="16" s="1"/>
  <c r="I49" i="16"/>
  <c r="J49" i="16" s="1"/>
  <c r="I48" i="16"/>
  <c r="J48" i="16" s="1"/>
  <c r="I47" i="16"/>
  <c r="J47" i="16" s="1"/>
  <c r="I46" i="16"/>
  <c r="J46" i="16" s="1"/>
  <c r="I45" i="16"/>
  <c r="J45" i="16" s="1"/>
  <c r="I44" i="16"/>
  <c r="J44" i="16" s="1"/>
  <c r="I42" i="16"/>
  <c r="J42" i="16" s="1"/>
  <c r="I41" i="16"/>
  <c r="J41" i="16" s="1"/>
  <c r="I40" i="16"/>
  <c r="J40" i="16" s="1"/>
  <c r="I39" i="16"/>
  <c r="J39" i="16" s="1"/>
  <c r="I38" i="16"/>
  <c r="J38" i="16" s="1"/>
  <c r="I37" i="16"/>
  <c r="J37" i="16" s="1"/>
  <c r="E12" i="16"/>
  <c r="E4" i="16"/>
  <c r="D12" i="16"/>
  <c r="D4" i="16"/>
  <c r="C12" i="16"/>
  <c r="C4" i="16"/>
  <c r="E3" i="16"/>
  <c r="E5" i="16" s="1"/>
  <c r="D3" i="16"/>
  <c r="C3" i="16"/>
  <c r="C18" i="16" s="1"/>
  <c r="D47" i="16"/>
  <c r="N33" i="16"/>
  <c r="M33" i="16"/>
  <c r="B36" i="16" s="1"/>
  <c r="L33" i="16"/>
  <c r="B35" i="16" s="1"/>
  <c r="M31" i="16"/>
  <c r="K31" i="16"/>
  <c r="K33" i="16" s="1"/>
  <c r="B34" i="16" s="1"/>
  <c r="J31" i="16"/>
  <c r="J33" i="16" s="1"/>
  <c r="I41" i="15"/>
  <c r="J41" i="15" s="1"/>
  <c r="I56" i="15"/>
  <c r="J56" i="15" s="1"/>
  <c r="I55" i="15"/>
  <c r="J55" i="15" s="1"/>
  <c r="I54" i="15"/>
  <c r="J54" i="15" s="1"/>
  <c r="I53" i="15"/>
  <c r="J53" i="15" s="1"/>
  <c r="I52" i="15"/>
  <c r="J52" i="15" s="1"/>
  <c r="I51" i="15"/>
  <c r="J51" i="15" s="1"/>
  <c r="I49" i="15"/>
  <c r="J49" i="15" s="1"/>
  <c r="I48" i="15"/>
  <c r="J48" i="15" s="1"/>
  <c r="I47" i="15"/>
  <c r="J47" i="15" s="1"/>
  <c r="I46" i="15"/>
  <c r="J46" i="15" s="1"/>
  <c r="I45" i="15"/>
  <c r="J45" i="15" s="1"/>
  <c r="I44" i="15"/>
  <c r="J44" i="15" s="1"/>
  <c r="I42" i="15"/>
  <c r="J42" i="15" s="1"/>
  <c r="I40" i="15"/>
  <c r="J40" i="15" s="1"/>
  <c r="I39" i="15"/>
  <c r="J39" i="15" s="1"/>
  <c r="I38" i="15"/>
  <c r="J38" i="15" s="1"/>
  <c r="I37" i="15"/>
  <c r="J37" i="15" s="1"/>
  <c r="E12" i="15"/>
  <c r="D12" i="15"/>
  <c r="C12" i="15"/>
  <c r="E4" i="15"/>
  <c r="D4" i="15"/>
  <c r="C4" i="15"/>
  <c r="E3" i="15"/>
  <c r="E14" i="15" s="1"/>
  <c r="D3" i="15"/>
  <c r="D14" i="15" s="1"/>
  <c r="C3" i="15"/>
  <c r="C14" i="15" s="1"/>
  <c r="D47" i="15"/>
  <c r="N33" i="15"/>
  <c r="L33" i="15"/>
  <c r="B35" i="15" s="1"/>
  <c r="M31" i="15"/>
  <c r="M33" i="15" s="1"/>
  <c r="B36" i="15" s="1"/>
  <c r="K31" i="15"/>
  <c r="K33" i="15" s="1"/>
  <c r="B34" i="15" s="1"/>
  <c r="J31" i="15"/>
  <c r="J33" i="15" s="1"/>
  <c r="I56" i="42"/>
  <c r="J56" i="42" s="1"/>
  <c r="I55" i="42"/>
  <c r="J55" i="42" s="1"/>
  <c r="I54" i="42"/>
  <c r="J54" i="42" s="1"/>
  <c r="I53" i="42"/>
  <c r="J53" i="42" s="1"/>
  <c r="I52" i="42"/>
  <c r="J52" i="42" s="1"/>
  <c r="I51" i="42"/>
  <c r="J51" i="42" s="1"/>
  <c r="I49" i="42"/>
  <c r="J49" i="42" s="1"/>
  <c r="I48" i="42"/>
  <c r="J48" i="42" s="1"/>
  <c r="I47" i="42"/>
  <c r="J47" i="42" s="1"/>
  <c r="I46" i="42"/>
  <c r="J46" i="42" s="1"/>
  <c r="K46" i="42" s="1"/>
  <c r="I45" i="42"/>
  <c r="J45" i="42" s="1"/>
  <c r="I44" i="42"/>
  <c r="J44" i="42" s="1"/>
  <c r="I42" i="42"/>
  <c r="J42" i="42" s="1"/>
  <c r="I41" i="42"/>
  <c r="J41" i="42" s="1"/>
  <c r="I40" i="42"/>
  <c r="J40" i="42" s="1"/>
  <c r="K40" i="42" s="1"/>
  <c r="L40" i="42" s="1"/>
  <c r="M40" i="42" s="1"/>
  <c r="I39" i="42"/>
  <c r="J39" i="42" s="1"/>
  <c r="I38" i="42"/>
  <c r="J38" i="42" s="1"/>
  <c r="I37" i="42"/>
  <c r="J37" i="42" s="1"/>
  <c r="E12" i="42"/>
  <c r="D12" i="42"/>
  <c r="C12" i="42"/>
  <c r="E4" i="42"/>
  <c r="D4" i="42"/>
  <c r="C4" i="42"/>
  <c r="E3" i="42"/>
  <c r="E5" i="42" s="1"/>
  <c r="E6" i="42" s="1"/>
  <c r="E7" i="42" s="1"/>
  <c r="E8" i="42" s="1"/>
  <c r="D3" i="42"/>
  <c r="D5" i="42" s="1"/>
  <c r="D6" i="42" s="1"/>
  <c r="C3" i="42"/>
  <c r="D47" i="42"/>
  <c r="N33" i="42"/>
  <c r="L33" i="42"/>
  <c r="B35" i="42" s="1"/>
  <c r="M31" i="42"/>
  <c r="M33" i="42" s="1"/>
  <c r="B36" i="42" s="1"/>
  <c r="K31" i="42"/>
  <c r="K33" i="42" s="1"/>
  <c r="B34" i="42" s="1"/>
  <c r="J31" i="42"/>
  <c r="D11" i="42"/>
  <c r="I56" i="41"/>
  <c r="J56" i="41" s="1"/>
  <c r="I55" i="41"/>
  <c r="J55" i="41" s="1"/>
  <c r="I54" i="41"/>
  <c r="J54" i="41" s="1"/>
  <c r="I53" i="41"/>
  <c r="I52" i="41"/>
  <c r="I51" i="41"/>
  <c r="I49" i="41"/>
  <c r="J49" i="41" s="1"/>
  <c r="I48" i="41"/>
  <c r="J48" i="41" s="1"/>
  <c r="I47" i="41"/>
  <c r="J47" i="41" s="1"/>
  <c r="I46" i="41"/>
  <c r="J46" i="41" s="1"/>
  <c r="I45" i="41"/>
  <c r="J45" i="41" s="1"/>
  <c r="I44" i="41"/>
  <c r="J44" i="41" s="1"/>
  <c r="I42" i="41"/>
  <c r="J42" i="41" s="1"/>
  <c r="I41" i="41"/>
  <c r="J41" i="41" s="1"/>
  <c r="I40" i="41"/>
  <c r="J40" i="41" s="1"/>
  <c r="I39" i="41"/>
  <c r="J39" i="41" s="1"/>
  <c r="I38" i="41"/>
  <c r="J38" i="41" s="1"/>
  <c r="I37" i="41"/>
  <c r="J37" i="41" s="1"/>
  <c r="E12" i="41"/>
  <c r="D12" i="41"/>
  <c r="C12" i="41"/>
  <c r="E4" i="41"/>
  <c r="D4" i="41"/>
  <c r="C4" i="41"/>
  <c r="E3" i="41"/>
  <c r="E14" i="41" s="1"/>
  <c r="D3" i="41"/>
  <c r="D18" i="41" s="1"/>
  <c r="C3" i="41"/>
  <c r="C13" i="41" s="1"/>
  <c r="J53" i="41"/>
  <c r="J52" i="41"/>
  <c r="J51" i="41"/>
  <c r="D47" i="41"/>
  <c r="N33" i="41"/>
  <c r="L33" i="41"/>
  <c r="B35" i="41" s="1"/>
  <c r="M31" i="41"/>
  <c r="M33" i="41" s="1"/>
  <c r="B36" i="41" s="1"/>
  <c r="K31" i="41"/>
  <c r="K33" i="41" s="1"/>
  <c r="B34" i="41" s="1"/>
  <c r="J31" i="41"/>
  <c r="I56" i="40"/>
  <c r="J56" i="40" s="1"/>
  <c r="I55" i="40"/>
  <c r="J55" i="40" s="1"/>
  <c r="I54" i="40"/>
  <c r="J54" i="40" s="1"/>
  <c r="I53" i="40"/>
  <c r="J53" i="40" s="1"/>
  <c r="I52" i="40"/>
  <c r="J52" i="40" s="1"/>
  <c r="I51" i="40"/>
  <c r="J51" i="40" s="1"/>
  <c r="I49" i="40"/>
  <c r="J49" i="40" s="1"/>
  <c r="I48" i="40"/>
  <c r="J48" i="40" s="1"/>
  <c r="I47" i="40"/>
  <c r="J47" i="40" s="1"/>
  <c r="I46" i="40"/>
  <c r="J46" i="40" s="1"/>
  <c r="I45" i="40"/>
  <c r="J45" i="40" s="1"/>
  <c r="I44" i="40"/>
  <c r="J44" i="40" s="1"/>
  <c r="I42" i="40"/>
  <c r="J42" i="40" s="1"/>
  <c r="I41" i="40"/>
  <c r="J41" i="40" s="1"/>
  <c r="I40" i="40"/>
  <c r="J40" i="40" s="1"/>
  <c r="I39" i="40"/>
  <c r="J39" i="40" s="1"/>
  <c r="I38" i="40"/>
  <c r="J38" i="40" s="1"/>
  <c r="I37" i="40"/>
  <c r="J37" i="40" s="1"/>
  <c r="E12" i="40"/>
  <c r="D12" i="40"/>
  <c r="C12" i="40"/>
  <c r="E4" i="40"/>
  <c r="D4" i="40"/>
  <c r="C4" i="40"/>
  <c r="E3" i="40"/>
  <c r="D3" i="40"/>
  <c r="C3" i="40"/>
  <c r="D47" i="40"/>
  <c r="N33" i="40"/>
  <c r="L33" i="40"/>
  <c r="B35" i="40" s="1"/>
  <c r="M31" i="40"/>
  <c r="M33" i="40" s="1"/>
  <c r="B36" i="40" s="1"/>
  <c r="K31" i="40"/>
  <c r="K33" i="40" s="1"/>
  <c r="B34" i="40" s="1"/>
  <c r="J31" i="40"/>
  <c r="J33" i="40" s="1"/>
  <c r="I56" i="39"/>
  <c r="J56" i="39" s="1"/>
  <c r="I55" i="39"/>
  <c r="J55" i="39" s="1"/>
  <c r="I54" i="39"/>
  <c r="J54" i="39" s="1"/>
  <c r="I53" i="39"/>
  <c r="J53" i="39" s="1"/>
  <c r="I52" i="39"/>
  <c r="J52" i="39" s="1"/>
  <c r="I51" i="39"/>
  <c r="J51" i="39" s="1"/>
  <c r="I49" i="39"/>
  <c r="J49" i="39" s="1"/>
  <c r="I48" i="39"/>
  <c r="J48" i="39" s="1"/>
  <c r="I47" i="39"/>
  <c r="J47" i="39" s="1"/>
  <c r="I46" i="39"/>
  <c r="J46" i="39" s="1"/>
  <c r="I45" i="39"/>
  <c r="I44" i="39"/>
  <c r="J44" i="39" s="1"/>
  <c r="I42" i="39"/>
  <c r="J42" i="39" s="1"/>
  <c r="I41" i="39"/>
  <c r="J41" i="39" s="1"/>
  <c r="I40" i="39"/>
  <c r="J40" i="39" s="1"/>
  <c r="I39" i="39"/>
  <c r="J39" i="39" s="1"/>
  <c r="I38" i="39"/>
  <c r="I37" i="39"/>
  <c r="J37" i="39" s="1"/>
  <c r="E12" i="39"/>
  <c r="D12" i="39"/>
  <c r="C12" i="39"/>
  <c r="E4" i="39"/>
  <c r="D4" i="39"/>
  <c r="C4" i="39"/>
  <c r="E3" i="39"/>
  <c r="E13" i="39" s="1"/>
  <c r="D3" i="39"/>
  <c r="C3" i="39"/>
  <c r="D47" i="39"/>
  <c r="J45" i="39"/>
  <c r="J38" i="39"/>
  <c r="N33" i="39"/>
  <c r="L33" i="39"/>
  <c r="B35" i="39" s="1"/>
  <c r="M31" i="39"/>
  <c r="M33" i="39" s="1"/>
  <c r="B36" i="39" s="1"/>
  <c r="K31" i="39"/>
  <c r="K33" i="39" s="1"/>
  <c r="B34" i="39" s="1"/>
  <c r="J31" i="39"/>
  <c r="O31" i="39" s="1"/>
  <c r="E14" i="39"/>
  <c r="C14" i="39"/>
  <c r="I56" i="38"/>
  <c r="J56" i="38" s="1"/>
  <c r="I55" i="38"/>
  <c r="J55" i="38" s="1"/>
  <c r="I54" i="38"/>
  <c r="J54" i="38" s="1"/>
  <c r="I53" i="38"/>
  <c r="J53" i="38" s="1"/>
  <c r="I52" i="38"/>
  <c r="J52" i="38" s="1"/>
  <c r="I51" i="38"/>
  <c r="J51" i="38" s="1"/>
  <c r="I49" i="38"/>
  <c r="J49" i="38" s="1"/>
  <c r="I48" i="38"/>
  <c r="J48" i="38" s="1"/>
  <c r="I47" i="38"/>
  <c r="J47" i="38" s="1"/>
  <c r="I46" i="38"/>
  <c r="J46" i="38" s="1"/>
  <c r="I45" i="38"/>
  <c r="J45" i="38" s="1"/>
  <c r="I44" i="38"/>
  <c r="J44" i="38" s="1"/>
  <c r="I42" i="38"/>
  <c r="J42" i="38" s="1"/>
  <c r="I41" i="38"/>
  <c r="J41" i="38" s="1"/>
  <c r="I40" i="38"/>
  <c r="J40" i="38" s="1"/>
  <c r="I39" i="38"/>
  <c r="J39" i="38" s="1"/>
  <c r="I38" i="38"/>
  <c r="J38" i="38" s="1"/>
  <c r="I37" i="38"/>
  <c r="J37" i="38" s="1"/>
  <c r="E12" i="38"/>
  <c r="D12" i="38"/>
  <c r="E4" i="38"/>
  <c r="D4" i="38"/>
  <c r="E3" i="38"/>
  <c r="E16" i="38" s="1"/>
  <c r="D3" i="38"/>
  <c r="C12" i="38"/>
  <c r="C4" i="38"/>
  <c r="C3" i="38"/>
  <c r="D47" i="38"/>
  <c r="N33" i="38"/>
  <c r="L33" i="38"/>
  <c r="B35" i="38" s="1"/>
  <c r="M31" i="38"/>
  <c r="M33" i="38" s="1"/>
  <c r="B36" i="38" s="1"/>
  <c r="K31" i="38"/>
  <c r="K33" i="38" s="1"/>
  <c r="B34" i="38" s="1"/>
  <c r="J31" i="38"/>
  <c r="J33" i="38" s="1"/>
  <c r="I37" i="37"/>
  <c r="J37" i="37" s="1"/>
  <c r="E12" i="35"/>
  <c r="D12" i="35"/>
  <c r="C12" i="35"/>
  <c r="E12" i="36"/>
  <c r="D12" i="36"/>
  <c r="C12" i="36"/>
  <c r="E12" i="37"/>
  <c r="D12" i="37"/>
  <c r="C12" i="37"/>
  <c r="E12" i="34"/>
  <c r="D12" i="34"/>
  <c r="C12" i="34"/>
  <c r="E4" i="35"/>
  <c r="D4" i="35"/>
  <c r="E4" i="36"/>
  <c r="E4" i="37"/>
  <c r="D4" i="37"/>
  <c r="C4" i="37"/>
  <c r="E3" i="37"/>
  <c r="E14" i="37" s="1"/>
  <c r="D3" i="37"/>
  <c r="C3" i="37"/>
  <c r="I56" i="37"/>
  <c r="I55" i="37"/>
  <c r="J55" i="37" s="1"/>
  <c r="I54" i="37"/>
  <c r="J54" i="37" s="1"/>
  <c r="I53" i="37"/>
  <c r="J53" i="37" s="1"/>
  <c r="I52" i="37"/>
  <c r="J52" i="37" s="1"/>
  <c r="I51" i="37"/>
  <c r="J51" i="37" s="1"/>
  <c r="I49" i="37"/>
  <c r="J49" i="37" s="1"/>
  <c r="I48" i="37"/>
  <c r="J48" i="37" s="1"/>
  <c r="I47" i="37"/>
  <c r="J47" i="37" s="1"/>
  <c r="I46" i="37"/>
  <c r="J46" i="37" s="1"/>
  <c r="I45" i="37"/>
  <c r="J45" i="37" s="1"/>
  <c r="I44" i="37"/>
  <c r="J44" i="37" s="1"/>
  <c r="I42" i="37"/>
  <c r="J42" i="37" s="1"/>
  <c r="I41" i="37"/>
  <c r="J41" i="37" s="1"/>
  <c r="I40" i="37"/>
  <c r="J40" i="37" s="1"/>
  <c r="I39" i="37"/>
  <c r="J39" i="37" s="1"/>
  <c r="I38" i="37"/>
  <c r="J38" i="37" s="1"/>
  <c r="J56" i="37"/>
  <c r="D47" i="37"/>
  <c r="N33" i="37"/>
  <c r="L33" i="37"/>
  <c r="B35" i="37" s="1"/>
  <c r="M31" i="37"/>
  <c r="M33" i="37" s="1"/>
  <c r="B36" i="37" s="1"/>
  <c r="K31" i="37"/>
  <c r="K33" i="37" s="1"/>
  <c r="B34" i="37" s="1"/>
  <c r="J31" i="37"/>
  <c r="J33" i="37" s="1"/>
  <c r="I56" i="36"/>
  <c r="J56" i="36" s="1"/>
  <c r="I55" i="36"/>
  <c r="J55" i="36" s="1"/>
  <c r="I54" i="36"/>
  <c r="J54" i="36" s="1"/>
  <c r="I53" i="36"/>
  <c r="J53" i="36" s="1"/>
  <c r="I52" i="36"/>
  <c r="J52" i="36" s="1"/>
  <c r="I51" i="36"/>
  <c r="J51" i="36" s="1"/>
  <c r="I49" i="36"/>
  <c r="J49" i="36" s="1"/>
  <c r="I48" i="36"/>
  <c r="J48" i="36" s="1"/>
  <c r="I47" i="36"/>
  <c r="J47" i="36" s="1"/>
  <c r="I46" i="36"/>
  <c r="J46" i="36" s="1"/>
  <c r="I45" i="36"/>
  <c r="J45" i="36" s="1"/>
  <c r="I44" i="36"/>
  <c r="J44" i="36" s="1"/>
  <c r="I42" i="36"/>
  <c r="J42" i="36" s="1"/>
  <c r="I41" i="36"/>
  <c r="J41" i="36" s="1"/>
  <c r="I40" i="36"/>
  <c r="J40" i="36" s="1"/>
  <c r="I39" i="36"/>
  <c r="J39" i="36" s="1"/>
  <c r="I38" i="36"/>
  <c r="J38" i="36" s="1"/>
  <c r="I37" i="36"/>
  <c r="J37" i="36" s="1"/>
  <c r="C16" i="34"/>
  <c r="D3" i="34"/>
  <c r="D16" i="34" s="1"/>
  <c r="E3" i="34"/>
  <c r="E16" i="34" s="1"/>
  <c r="D4" i="36"/>
  <c r="C4" i="36"/>
  <c r="E3" i="36"/>
  <c r="E15" i="36" s="1"/>
  <c r="D3" i="36"/>
  <c r="C3" i="36"/>
  <c r="D47" i="36"/>
  <c r="N33" i="36"/>
  <c r="L33" i="36"/>
  <c r="B35" i="36" s="1"/>
  <c r="M31" i="36"/>
  <c r="M33" i="36" s="1"/>
  <c r="B36" i="36" s="1"/>
  <c r="K31" i="36"/>
  <c r="K33" i="36" s="1"/>
  <c r="B34" i="36" s="1"/>
  <c r="J31" i="36"/>
  <c r="I56" i="35"/>
  <c r="J56" i="35" s="1"/>
  <c r="I55" i="35"/>
  <c r="J55" i="35" s="1"/>
  <c r="I54" i="35"/>
  <c r="J54" i="35" s="1"/>
  <c r="I53" i="35"/>
  <c r="J53" i="35" s="1"/>
  <c r="I52" i="35"/>
  <c r="J52" i="35" s="1"/>
  <c r="I51" i="35"/>
  <c r="J51" i="35" s="1"/>
  <c r="I49" i="35"/>
  <c r="J49" i="35" s="1"/>
  <c r="I48" i="35"/>
  <c r="J48" i="35" s="1"/>
  <c r="I47" i="35"/>
  <c r="J47" i="35" s="1"/>
  <c r="I46" i="35"/>
  <c r="J46" i="35" s="1"/>
  <c r="I45" i="35"/>
  <c r="J45" i="35" s="1"/>
  <c r="I44" i="35"/>
  <c r="J44" i="35" s="1"/>
  <c r="I42" i="35"/>
  <c r="J42" i="35" s="1"/>
  <c r="I41" i="35"/>
  <c r="J41" i="35" s="1"/>
  <c r="I40" i="35"/>
  <c r="J40" i="35" s="1"/>
  <c r="I39" i="35"/>
  <c r="J39" i="35" s="1"/>
  <c r="I38" i="35"/>
  <c r="J38" i="35" s="1"/>
  <c r="I37" i="35"/>
  <c r="J37" i="35" s="1"/>
  <c r="C4" i="35"/>
  <c r="E3" i="35"/>
  <c r="E16" i="35" s="1"/>
  <c r="D3" i="35"/>
  <c r="D5" i="35" s="1"/>
  <c r="C3" i="35"/>
  <c r="C14" i="35" s="1"/>
  <c r="D47" i="35"/>
  <c r="N33" i="35"/>
  <c r="L33" i="35"/>
  <c r="B35" i="35" s="1"/>
  <c r="M31" i="35"/>
  <c r="M33" i="35" s="1"/>
  <c r="B36" i="35" s="1"/>
  <c r="K31" i="35"/>
  <c r="K33" i="35" s="1"/>
  <c r="B34" i="35" s="1"/>
  <c r="J31" i="35"/>
  <c r="O31" i="35" s="1"/>
  <c r="E4" i="34"/>
  <c r="D4" i="34"/>
  <c r="C4" i="34"/>
  <c r="E11" i="39" l="1"/>
  <c r="D14" i="38"/>
  <c r="C15" i="57"/>
  <c r="C13" i="53"/>
  <c r="C15" i="43"/>
  <c r="D15" i="16"/>
  <c r="D13" i="48"/>
  <c r="C7" i="64"/>
  <c r="O31" i="44"/>
  <c r="C14" i="38"/>
  <c r="E11" i="43"/>
  <c r="B6" i="45"/>
  <c r="K52" i="45" s="1"/>
  <c r="L52" i="45" s="1"/>
  <c r="M52" i="45" s="1"/>
  <c r="D13" i="47"/>
  <c r="B6" i="32"/>
  <c r="D11" i="33"/>
  <c r="B6" i="48"/>
  <c r="K45" i="48" s="1"/>
  <c r="L45" i="48" s="1"/>
  <c r="M45" i="48" s="1"/>
  <c r="C14" i="53"/>
  <c r="B6" i="59"/>
  <c r="K49" i="59" s="1"/>
  <c r="L49" i="59" s="1"/>
  <c r="M49" i="59" s="1"/>
  <c r="D18" i="46"/>
  <c r="B6" i="31"/>
  <c r="K55" i="31" s="1"/>
  <c r="L55" i="31" s="1"/>
  <c r="M55" i="31" s="1"/>
  <c r="C5" i="43"/>
  <c r="E15" i="31"/>
  <c r="B6" i="56"/>
  <c r="D13" i="38"/>
  <c r="E18" i="42"/>
  <c r="C13" i="42"/>
  <c r="B6" i="44"/>
  <c r="K42" i="44" s="1"/>
  <c r="L42" i="44" s="1"/>
  <c r="M42" i="44" s="1"/>
  <c r="C15" i="49"/>
  <c r="B6" i="51"/>
  <c r="D14" i="53"/>
  <c r="B6" i="54"/>
  <c r="C14" i="57"/>
  <c r="D17" i="40"/>
  <c r="O31" i="42"/>
  <c r="D7" i="42"/>
  <c r="D8" i="42" s="1"/>
  <c r="L46" i="42"/>
  <c r="M46" i="42" s="1"/>
  <c r="D18" i="45"/>
  <c r="B6" i="46"/>
  <c r="B6" i="33"/>
  <c r="B6" i="49"/>
  <c r="K51" i="49" s="1"/>
  <c r="L51" i="49" s="1"/>
  <c r="M51" i="49" s="1"/>
  <c r="C15" i="52"/>
  <c r="E11" i="55"/>
  <c r="D17" i="56"/>
  <c r="E5" i="48"/>
  <c r="E14" i="48"/>
  <c r="E14" i="33"/>
  <c r="D13" i="33"/>
  <c r="D15" i="46"/>
  <c r="D5" i="45"/>
  <c r="K45" i="43"/>
  <c r="B6" i="52"/>
  <c r="K40" i="52" s="1"/>
  <c r="L40" i="52" s="1"/>
  <c r="M40" i="52" s="1"/>
  <c r="C6" i="45"/>
  <c r="C7" i="45" s="1"/>
  <c r="C8" i="45" s="1"/>
  <c r="B6" i="57"/>
  <c r="B6" i="47"/>
  <c r="K47" i="47" s="1"/>
  <c r="L47" i="47" s="1"/>
  <c r="M47" i="47" s="1"/>
  <c r="B6" i="53"/>
  <c r="B6" i="55"/>
  <c r="K45" i="55" s="1"/>
  <c r="L45" i="55" s="1"/>
  <c r="M45" i="55" s="1"/>
  <c r="D13" i="43"/>
  <c r="D14" i="43"/>
  <c r="D16" i="43"/>
  <c r="E11" i="31"/>
  <c r="K54" i="43"/>
  <c r="D13" i="42"/>
  <c r="D18" i="42"/>
  <c r="C13" i="40"/>
  <c r="D13" i="36"/>
  <c r="K53" i="42"/>
  <c r="L53" i="42" s="1"/>
  <c r="M53" i="42" s="1"/>
  <c r="O31" i="15"/>
  <c r="D15" i="45"/>
  <c r="C15" i="32"/>
  <c r="O31" i="48"/>
  <c r="D14" i="50"/>
  <c r="E14" i="54"/>
  <c r="J33" i="57"/>
  <c r="O31" i="58"/>
  <c r="O31" i="36"/>
  <c r="K45" i="42"/>
  <c r="L45" i="42" s="1"/>
  <c r="M45" i="42" s="1"/>
  <c r="E15" i="52"/>
  <c r="D13" i="59"/>
  <c r="O31" i="38"/>
  <c r="C11" i="37"/>
  <c r="O31" i="41"/>
  <c r="O31" i="43"/>
  <c r="E14" i="45"/>
  <c r="O31" i="46"/>
  <c r="D18" i="49"/>
  <c r="O31" i="52"/>
  <c r="D18" i="52"/>
  <c r="C11" i="40"/>
  <c r="E17" i="42"/>
  <c r="E13" i="16"/>
  <c r="E11" i="46"/>
  <c r="D15" i="32"/>
  <c r="E16" i="48"/>
  <c r="E18" i="48"/>
  <c r="O31" i="51"/>
  <c r="O31" i="54"/>
  <c r="C17" i="47"/>
  <c r="O31" i="59"/>
  <c r="C13" i="36"/>
  <c r="C15" i="39"/>
  <c r="E13" i="40"/>
  <c r="E14" i="42"/>
  <c r="K42" i="42"/>
  <c r="L42" i="42" s="1"/>
  <c r="M42" i="42" s="1"/>
  <c r="E14" i="16"/>
  <c r="K40" i="45"/>
  <c r="L40" i="45" s="1"/>
  <c r="M40" i="45" s="1"/>
  <c r="O31" i="33"/>
  <c r="O31" i="53"/>
  <c r="C14" i="58"/>
  <c r="C15" i="40"/>
  <c r="C14" i="36"/>
  <c r="E17" i="53"/>
  <c r="E14" i="55"/>
  <c r="C15" i="41"/>
  <c r="D14" i="42"/>
  <c r="C14" i="40"/>
  <c r="D18" i="50"/>
  <c r="C17" i="53"/>
  <c r="E15" i="59"/>
  <c r="D17" i="31"/>
  <c r="D14" i="48"/>
  <c r="D5" i="52"/>
  <c r="C15" i="53"/>
  <c r="C17" i="58"/>
  <c r="D14" i="32"/>
  <c r="C17" i="39"/>
  <c r="E15" i="42"/>
  <c r="D13" i="31"/>
  <c r="C18" i="45"/>
  <c r="C17" i="52"/>
  <c r="E11" i="57"/>
  <c r="D18" i="32"/>
  <c r="C14" i="56"/>
  <c r="D15" i="31"/>
  <c r="D11" i="32"/>
  <c r="C11" i="49"/>
  <c r="C15" i="58"/>
  <c r="C17" i="40"/>
  <c r="C11" i="15"/>
  <c r="D17" i="16"/>
  <c r="D17" i="45"/>
  <c r="C17" i="55"/>
  <c r="C17" i="15"/>
  <c r="D18" i="31"/>
  <c r="D13" i="32"/>
  <c r="K54" i="16"/>
  <c r="L54" i="16" s="1"/>
  <c r="M54" i="16" s="1"/>
  <c r="E17" i="37"/>
  <c r="E17" i="31"/>
  <c r="D17" i="46"/>
  <c r="E17" i="48"/>
  <c r="E17" i="52"/>
  <c r="D17" i="47"/>
  <c r="C13" i="49"/>
  <c r="C15" i="54"/>
  <c r="E14" i="58"/>
  <c r="C11" i="39"/>
  <c r="C14" i="41"/>
  <c r="E18" i="16"/>
  <c r="C14" i="49"/>
  <c r="D17" i="38"/>
  <c r="D17" i="42"/>
  <c r="E17" i="43"/>
  <c r="E11" i="48"/>
  <c r="E17" i="57"/>
  <c r="E14" i="51"/>
  <c r="C5" i="64"/>
  <c r="C6" i="64"/>
  <c r="C8" i="64"/>
  <c r="K40" i="50"/>
  <c r="L40" i="50" s="1"/>
  <c r="M40" i="50" s="1"/>
  <c r="K40" i="43"/>
  <c r="K51" i="35"/>
  <c r="L51" i="35" s="1"/>
  <c r="M51" i="35" s="1"/>
  <c r="K40" i="39"/>
  <c r="L40" i="39" s="1"/>
  <c r="M40" i="39" s="1"/>
  <c r="K52" i="39"/>
  <c r="L52" i="39" s="1"/>
  <c r="M52" i="39" s="1"/>
  <c r="K45" i="41"/>
  <c r="L45" i="41" s="1"/>
  <c r="M45" i="41" s="1"/>
  <c r="K37" i="41"/>
  <c r="L37" i="41" s="1"/>
  <c r="M37" i="41" s="1"/>
  <c r="K55" i="41"/>
  <c r="L55" i="41" s="1"/>
  <c r="M55" i="41" s="1"/>
  <c r="K46" i="53"/>
  <c r="L46" i="53" s="1"/>
  <c r="M46" i="53" s="1"/>
  <c r="K37" i="43"/>
  <c r="L37" i="43" s="1"/>
  <c r="M37" i="43" s="1"/>
  <c r="K54" i="45"/>
  <c r="L54" i="45" s="1"/>
  <c r="M54" i="45" s="1"/>
  <c r="D6" i="45"/>
  <c r="D7" i="45" s="1"/>
  <c r="D8" i="45" s="1"/>
  <c r="D9" i="45" s="1"/>
  <c r="K51" i="44"/>
  <c r="L51" i="44" s="1"/>
  <c r="M51" i="44" s="1"/>
  <c r="K47" i="46"/>
  <c r="L47" i="46" s="1"/>
  <c r="M47" i="46" s="1"/>
  <c r="K42" i="46"/>
  <c r="L42" i="46" s="1"/>
  <c r="M42" i="46" s="1"/>
  <c r="K52" i="46"/>
  <c r="L52" i="46" s="1"/>
  <c r="M52" i="46" s="1"/>
  <c r="K55" i="53"/>
  <c r="L55" i="53" s="1"/>
  <c r="M55" i="53" s="1"/>
  <c r="K42" i="32"/>
  <c r="L42" i="32" s="1"/>
  <c r="M42" i="32" s="1"/>
  <c r="K52" i="32"/>
  <c r="L52" i="32" s="1"/>
  <c r="M52" i="32" s="1"/>
  <c r="K46" i="33"/>
  <c r="L46" i="33" s="1"/>
  <c r="M46" i="33" s="1"/>
  <c r="K42" i="36"/>
  <c r="L42" i="36" s="1"/>
  <c r="M42" i="36" s="1"/>
  <c r="K47" i="32"/>
  <c r="L47" i="32" s="1"/>
  <c r="M47" i="32" s="1"/>
  <c r="K56" i="32"/>
  <c r="L56" i="32" s="1"/>
  <c r="M56" i="32" s="1"/>
  <c r="K53" i="33"/>
  <c r="L53" i="33" s="1"/>
  <c r="M53" i="33" s="1"/>
  <c r="K44" i="33"/>
  <c r="L44" i="33" s="1"/>
  <c r="M44" i="33" s="1"/>
  <c r="K48" i="32"/>
  <c r="L48" i="32" s="1"/>
  <c r="M48" i="32" s="1"/>
  <c r="K45" i="33"/>
  <c r="L45" i="33" s="1"/>
  <c r="M45" i="33" s="1"/>
  <c r="K54" i="33"/>
  <c r="L54" i="33" s="1"/>
  <c r="M54" i="33" s="1"/>
  <c r="K46" i="43"/>
  <c r="L46" i="43" s="1"/>
  <c r="M46" i="43" s="1"/>
  <c r="K45" i="58"/>
  <c r="L45" i="58" s="1"/>
  <c r="M45" i="58" s="1"/>
  <c r="K52" i="36"/>
  <c r="L52" i="36" s="1"/>
  <c r="M52" i="36" s="1"/>
  <c r="K44" i="16"/>
  <c r="L44" i="16" s="1"/>
  <c r="M44" i="16" s="1"/>
  <c r="K56" i="47"/>
  <c r="L56" i="47" s="1"/>
  <c r="M56" i="47" s="1"/>
  <c r="K55" i="40"/>
  <c r="L55" i="40" s="1"/>
  <c r="M55" i="40" s="1"/>
  <c r="K53" i="40"/>
  <c r="L53" i="40" s="1"/>
  <c r="M53" i="40" s="1"/>
  <c r="K52" i="42"/>
  <c r="L52" i="42" s="1"/>
  <c r="M52" i="42" s="1"/>
  <c r="K55" i="15"/>
  <c r="L55" i="15" s="1"/>
  <c r="M55" i="15" s="1"/>
  <c r="K55" i="43"/>
  <c r="L55" i="43" s="1"/>
  <c r="M55" i="43" s="1"/>
  <c r="K55" i="45"/>
  <c r="L55" i="45" s="1"/>
  <c r="M55" i="45" s="1"/>
  <c r="K48" i="47"/>
  <c r="L48" i="47" s="1"/>
  <c r="M48" i="47" s="1"/>
  <c r="K40" i="36"/>
  <c r="L40" i="36" s="1"/>
  <c r="M40" i="36" s="1"/>
  <c r="K49" i="36"/>
  <c r="L49" i="36" s="1"/>
  <c r="M49" i="36" s="1"/>
  <c r="K44" i="40"/>
  <c r="L44" i="40" s="1"/>
  <c r="M44" i="40" s="1"/>
  <c r="K46" i="40"/>
  <c r="L46" i="40" s="1"/>
  <c r="M46" i="40" s="1"/>
  <c r="K54" i="42"/>
  <c r="L54" i="42" s="1"/>
  <c r="M54" i="42" s="1"/>
  <c r="K56" i="50"/>
  <c r="K42" i="51"/>
  <c r="L42" i="51" s="1"/>
  <c r="M42" i="51" s="1"/>
  <c r="K47" i="52"/>
  <c r="L47" i="52" s="1"/>
  <c r="M47" i="52" s="1"/>
  <c r="K47" i="54"/>
  <c r="L47" i="54" s="1"/>
  <c r="M47" i="54" s="1"/>
  <c r="K56" i="54"/>
  <c r="L56" i="54" s="1"/>
  <c r="M56" i="54" s="1"/>
  <c r="K37" i="56"/>
  <c r="L37" i="56" s="1"/>
  <c r="M37" i="56" s="1"/>
  <c r="K49" i="56"/>
  <c r="L49" i="56" s="1"/>
  <c r="M49" i="56" s="1"/>
  <c r="K49" i="43"/>
  <c r="L49" i="43" s="1"/>
  <c r="M49" i="43" s="1"/>
  <c r="K47" i="35"/>
  <c r="L47" i="35" s="1"/>
  <c r="M47" i="35" s="1"/>
  <c r="K48" i="35"/>
  <c r="L48" i="35" s="1"/>
  <c r="M48" i="35" s="1"/>
  <c r="K54" i="35"/>
  <c r="L54" i="35" s="1"/>
  <c r="M54" i="35" s="1"/>
  <c r="K46" i="35"/>
  <c r="L46" i="35" s="1"/>
  <c r="M46" i="35" s="1"/>
  <c r="K49" i="35"/>
  <c r="L49" i="35" s="1"/>
  <c r="M49" i="35" s="1"/>
  <c r="K40" i="35"/>
  <c r="L40" i="35" s="1"/>
  <c r="M40" i="35" s="1"/>
  <c r="K52" i="35"/>
  <c r="L52" i="35" s="1"/>
  <c r="M52" i="35" s="1"/>
  <c r="K48" i="46"/>
  <c r="L48" i="46" s="1"/>
  <c r="M48" i="46" s="1"/>
  <c r="K44" i="46"/>
  <c r="L44" i="46" s="1"/>
  <c r="M44" i="46" s="1"/>
  <c r="K53" i="46"/>
  <c r="L53" i="46" s="1"/>
  <c r="M53" i="46" s="1"/>
  <c r="D6" i="35"/>
  <c r="D7" i="35" s="1"/>
  <c r="D8" i="35" s="1"/>
  <c r="D21" i="35" s="1"/>
  <c r="K54" i="44"/>
  <c r="L54" i="44" s="1"/>
  <c r="M54" i="44" s="1"/>
  <c r="K53" i="44"/>
  <c r="L53" i="44" s="1"/>
  <c r="M53" i="44" s="1"/>
  <c r="K53" i="35"/>
  <c r="L53" i="35" s="1"/>
  <c r="M53" i="35" s="1"/>
  <c r="K56" i="37"/>
  <c r="L56" i="37" s="1"/>
  <c r="M56" i="37" s="1"/>
  <c r="K46" i="37"/>
  <c r="L46" i="37" s="1"/>
  <c r="M46" i="37" s="1"/>
  <c r="K55" i="37"/>
  <c r="L55" i="37" s="1"/>
  <c r="M55" i="37" s="1"/>
  <c r="K38" i="38"/>
  <c r="L38" i="38" s="1"/>
  <c r="M38" i="38" s="1"/>
  <c r="K47" i="38"/>
  <c r="L47" i="38" s="1"/>
  <c r="M47" i="38" s="1"/>
  <c r="K42" i="39"/>
  <c r="L42" i="39" s="1"/>
  <c r="M42" i="39" s="1"/>
  <c r="K39" i="41"/>
  <c r="L39" i="41" s="1"/>
  <c r="M39" i="41" s="1"/>
  <c r="K48" i="41"/>
  <c r="L48" i="41" s="1"/>
  <c r="M48" i="41" s="1"/>
  <c r="K49" i="57"/>
  <c r="L49" i="57" s="1"/>
  <c r="M49" i="57" s="1"/>
  <c r="K53" i="59"/>
  <c r="L53" i="59" s="1"/>
  <c r="M53" i="59" s="1"/>
  <c r="K42" i="35"/>
  <c r="L42" i="35" s="1"/>
  <c r="M42" i="35" s="1"/>
  <c r="K55" i="35"/>
  <c r="L55" i="35" s="1"/>
  <c r="M55" i="35" s="1"/>
  <c r="K48" i="37"/>
  <c r="L48" i="37" s="1"/>
  <c r="M48" i="37" s="1"/>
  <c r="K45" i="38"/>
  <c r="L45" i="38" s="1"/>
  <c r="M45" i="38" s="1"/>
  <c r="K40" i="38"/>
  <c r="L40" i="38" s="1"/>
  <c r="M40" i="38" s="1"/>
  <c r="K51" i="41"/>
  <c r="L51" i="41" s="1"/>
  <c r="M51" i="41" s="1"/>
  <c r="K46" i="15"/>
  <c r="L46" i="15" s="1"/>
  <c r="M46" i="15" s="1"/>
  <c r="K40" i="15"/>
  <c r="L40" i="15" s="1"/>
  <c r="M40" i="15" s="1"/>
  <c r="K51" i="15"/>
  <c r="L51" i="15" s="1"/>
  <c r="M51" i="15" s="1"/>
  <c r="K48" i="16"/>
  <c r="L48" i="16" s="1"/>
  <c r="M48" i="16" s="1"/>
  <c r="K42" i="31"/>
  <c r="L42" i="31" s="1"/>
  <c r="M42" i="31" s="1"/>
  <c r="K37" i="31"/>
  <c r="L37" i="31" s="1"/>
  <c r="M37" i="31" s="1"/>
  <c r="K56" i="44"/>
  <c r="L56" i="44" s="1"/>
  <c r="M56" i="44" s="1"/>
  <c r="K39" i="46"/>
  <c r="L39" i="46" s="1"/>
  <c r="M39" i="46" s="1"/>
  <c r="K56" i="46"/>
  <c r="L56" i="46" s="1"/>
  <c r="M56" i="46" s="1"/>
  <c r="K52" i="47"/>
  <c r="L52" i="47" s="1"/>
  <c r="M52" i="47" s="1"/>
  <c r="K49" i="50"/>
  <c r="L49" i="50" s="1"/>
  <c r="M49" i="50" s="1"/>
  <c r="K49" i="51"/>
  <c r="L49" i="51" s="1"/>
  <c r="M49" i="51" s="1"/>
  <c r="K52" i="51"/>
  <c r="L52" i="51" s="1"/>
  <c r="M52" i="51" s="1"/>
  <c r="K46" i="36"/>
  <c r="L46" i="36" s="1"/>
  <c r="M46" i="36" s="1"/>
  <c r="K44" i="36"/>
  <c r="L44" i="36" s="1"/>
  <c r="M44" i="36" s="1"/>
  <c r="K53" i="36"/>
  <c r="L53" i="36" s="1"/>
  <c r="M53" i="36" s="1"/>
  <c r="K40" i="37"/>
  <c r="L40" i="37" s="1"/>
  <c r="M40" i="37" s="1"/>
  <c r="K49" i="37"/>
  <c r="L49" i="37" s="1"/>
  <c r="M49" i="37" s="1"/>
  <c r="K51" i="38"/>
  <c r="L51" i="38" s="1"/>
  <c r="M51" i="38" s="1"/>
  <c r="K47" i="39"/>
  <c r="L47" i="39" s="1"/>
  <c r="M47" i="39" s="1"/>
  <c r="K48" i="39"/>
  <c r="L48" i="39" s="1"/>
  <c r="M48" i="39" s="1"/>
  <c r="K56" i="39"/>
  <c r="L56" i="39" s="1"/>
  <c r="M56" i="39" s="1"/>
  <c r="K47" i="40"/>
  <c r="L47" i="40" s="1"/>
  <c r="M47" i="40" s="1"/>
  <c r="K52" i="41"/>
  <c r="L52" i="41" s="1"/>
  <c r="M52" i="41" s="1"/>
  <c r="K48" i="42"/>
  <c r="L48" i="42" s="1"/>
  <c r="M48" i="42" s="1"/>
  <c r="K52" i="15"/>
  <c r="L52" i="15" s="1"/>
  <c r="M52" i="15" s="1"/>
  <c r="K44" i="31"/>
  <c r="L44" i="31" s="1"/>
  <c r="M44" i="31" s="1"/>
  <c r="K51" i="43"/>
  <c r="L51" i="43" s="1"/>
  <c r="M51" i="43" s="1"/>
  <c r="K45" i="44"/>
  <c r="L45" i="44" s="1"/>
  <c r="M45" i="44" s="1"/>
  <c r="K48" i="44"/>
  <c r="L48" i="44" s="1"/>
  <c r="M48" i="44" s="1"/>
  <c r="K47" i="45"/>
  <c r="L47" i="45" s="1"/>
  <c r="M47" i="45" s="1"/>
  <c r="K51" i="45"/>
  <c r="L51" i="45" s="1"/>
  <c r="M51" i="45" s="1"/>
  <c r="K40" i="46"/>
  <c r="L40" i="46" s="1"/>
  <c r="M40" i="46" s="1"/>
  <c r="D6" i="46"/>
  <c r="D7" i="46" s="1"/>
  <c r="D8" i="46" s="1"/>
  <c r="D9" i="46" s="1"/>
  <c r="K49" i="47"/>
  <c r="L49" i="47" s="1"/>
  <c r="M49" i="47" s="1"/>
  <c r="K53" i="32"/>
  <c r="L53" i="32" s="1"/>
  <c r="M53" i="32" s="1"/>
  <c r="K44" i="32"/>
  <c r="L44" i="32" s="1"/>
  <c r="M44" i="32" s="1"/>
  <c r="K40" i="33"/>
  <c r="L40" i="33" s="1"/>
  <c r="M40" i="33" s="1"/>
  <c r="K51" i="51"/>
  <c r="L51" i="51" s="1"/>
  <c r="M51" i="51" s="1"/>
  <c r="D6" i="52"/>
  <c r="D7" i="52" s="1"/>
  <c r="D8" i="52" s="1"/>
  <c r="D9" i="52" s="1"/>
  <c r="K48" i="52"/>
  <c r="L48" i="52" s="1"/>
  <c r="M48" i="52" s="1"/>
  <c r="K47" i="53"/>
  <c r="L47" i="53" s="1"/>
  <c r="M47" i="53" s="1"/>
  <c r="K56" i="53"/>
  <c r="L56" i="53" s="1"/>
  <c r="M56" i="53" s="1"/>
  <c r="K48" i="54"/>
  <c r="L48" i="54" s="1"/>
  <c r="M48" i="54" s="1"/>
  <c r="K46" i="57"/>
  <c r="L46" i="57" s="1"/>
  <c r="M46" i="57" s="1"/>
  <c r="K51" i="57"/>
  <c r="L51" i="57" s="1"/>
  <c r="M51" i="57" s="1"/>
  <c r="K42" i="58"/>
  <c r="L42" i="58" s="1"/>
  <c r="M42" i="58" s="1"/>
  <c r="K52" i="58"/>
  <c r="L52" i="58" s="1"/>
  <c r="M52" i="58" s="1"/>
  <c r="K54" i="59"/>
  <c r="L54" i="59" s="1"/>
  <c r="M54" i="59" s="1"/>
  <c r="K45" i="36"/>
  <c r="L45" i="36" s="1"/>
  <c r="M45" i="36" s="1"/>
  <c r="K54" i="36"/>
  <c r="L54" i="36" s="1"/>
  <c r="M54" i="36" s="1"/>
  <c r="K51" i="37"/>
  <c r="L51" i="37" s="1"/>
  <c r="M51" i="37" s="1"/>
  <c r="K49" i="38"/>
  <c r="L49" i="38" s="1"/>
  <c r="M49" i="38" s="1"/>
  <c r="K49" i="39"/>
  <c r="L49" i="39" s="1"/>
  <c r="M49" i="39" s="1"/>
  <c r="K41" i="40"/>
  <c r="L41" i="40" s="1"/>
  <c r="M41" i="40" s="1"/>
  <c r="K51" i="40"/>
  <c r="L51" i="40" s="1"/>
  <c r="M51" i="40" s="1"/>
  <c r="K42" i="41"/>
  <c r="L42" i="41" s="1"/>
  <c r="M42" i="41" s="1"/>
  <c r="K53" i="41"/>
  <c r="L53" i="41" s="1"/>
  <c r="M53" i="41" s="1"/>
  <c r="K47" i="42"/>
  <c r="L47" i="42" s="1"/>
  <c r="M47" i="42" s="1"/>
  <c r="K47" i="15"/>
  <c r="L47" i="15" s="1"/>
  <c r="M47" i="15" s="1"/>
  <c r="K44" i="15"/>
  <c r="L44" i="15" s="1"/>
  <c r="M44" i="15" s="1"/>
  <c r="K46" i="31"/>
  <c r="L46" i="31" s="1"/>
  <c r="M46" i="31" s="1"/>
  <c r="K53" i="43"/>
  <c r="L53" i="43" s="1"/>
  <c r="M53" i="43" s="1"/>
  <c r="K52" i="43"/>
  <c r="L52" i="43" s="1"/>
  <c r="M52" i="43" s="1"/>
  <c r="K40" i="44"/>
  <c r="L40" i="44" s="1"/>
  <c r="M40" i="44" s="1"/>
  <c r="K49" i="46"/>
  <c r="L49" i="46" s="1"/>
  <c r="M49" i="46" s="1"/>
  <c r="K38" i="47"/>
  <c r="L38" i="47" s="1"/>
  <c r="M38" i="47" s="1"/>
  <c r="K54" i="47"/>
  <c r="L54" i="47" s="1"/>
  <c r="M54" i="47" s="1"/>
  <c r="K45" i="32"/>
  <c r="L45" i="32" s="1"/>
  <c r="M45" i="32" s="1"/>
  <c r="K54" i="32"/>
  <c r="L54" i="32" s="1"/>
  <c r="M54" i="32" s="1"/>
  <c r="K48" i="33"/>
  <c r="L48" i="33" s="1"/>
  <c r="M48" i="33" s="1"/>
  <c r="K51" i="33"/>
  <c r="L51" i="33" s="1"/>
  <c r="M51" i="33" s="1"/>
  <c r="K45" i="52"/>
  <c r="L45" i="52" s="1"/>
  <c r="M45" i="52" s="1"/>
  <c r="D6" i="53"/>
  <c r="D7" i="53" s="1"/>
  <c r="D8" i="53" s="1"/>
  <c r="K48" i="53"/>
  <c r="L48" i="53" s="1"/>
  <c r="M48" i="53" s="1"/>
  <c r="K42" i="54"/>
  <c r="L42" i="54" s="1"/>
  <c r="M42" i="54" s="1"/>
  <c r="K40" i="54"/>
  <c r="L40" i="54" s="1"/>
  <c r="M40" i="54" s="1"/>
  <c r="K49" i="54"/>
  <c r="L49" i="54" s="1"/>
  <c r="M49" i="54" s="1"/>
  <c r="K47" i="56"/>
  <c r="L47" i="56" s="1"/>
  <c r="M47" i="56" s="1"/>
  <c r="K42" i="56"/>
  <c r="L42" i="56" s="1"/>
  <c r="M42" i="56" s="1"/>
  <c r="K52" i="56"/>
  <c r="L52" i="56" s="1"/>
  <c r="M52" i="56" s="1"/>
  <c r="K52" i="57"/>
  <c r="L52" i="57" s="1"/>
  <c r="M52" i="57" s="1"/>
  <c r="K55" i="58"/>
  <c r="L55" i="58" s="1"/>
  <c r="M55" i="58" s="1"/>
  <c r="K44" i="58"/>
  <c r="L44" i="58" s="1"/>
  <c r="M44" i="58" s="1"/>
  <c r="K55" i="59"/>
  <c r="L55" i="59" s="1"/>
  <c r="M55" i="59" s="1"/>
  <c r="K55" i="36"/>
  <c r="L55" i="36" s="1"/>
  <c r="M55" i="36" s="1"/>
  <c r="K44" i="37"/>
  <c r="L44" i="37" s="1"/>
  <c r="M44" i="37" s="1"/>
  <c r="K42" i="37"/>
  <c r="L42" i="37" s="1"/>
  <c r="M42" i="37" s="1"/>
  <c r="K52" i="37"/>
  <c r="L52" i="37" s="1"/>
  <c r="M52" i="37" s="1"/>
  <c r="K54" i="38"/>
  <c r="L54" i="38" s="1"/>
  <c r="M54" i="38" s="1"/>
  <c r="K53" i="38"/>
  <c r="L53" i="38" s="1"/>
  <c r="M53" i="38" s="1"/>
  <c r="K51" i="39"/>
  <c r="L51" i="39" s="1"/>
  <c r="M51" i="39" s="1"/>
  <c r="K37" i="40"/>
  <c r="L37" i="40" s="1"/>
  <c r="M37" i="40" s="1"/>
  <c r="K49" i="40"/>
  <c r="L49" i="40" s="1"/>
  <c r="M49" i="40" s="1"/>
  <c r="K52" i="40"/>
  <c r="L52" i="40" s="1"/>
  <c r="M52" i="40" s="1"/>
  <c r="K44" i="41"/>
  <c r="L44" i="41" s="1"/>
  <c r="M44" i="41" s="1"/>
  <c r="K54" i="41"/>
  <c r="L54" i="41" s="1"/>
  <c r="M54" i="41" s="1"/>
  <c r="K49" i="42"/>
  <c r="L49" i="42" s="1"/>
  <c r="M49" i="42" s="1"/>
  <c r="K51" i="42"/>
  <c r="L51" i="42" s="1"/>
  <c r="M51" i="42" s="1"/>
  <c r="K49" i="15"/>
  <c r="L49" i="15" s="1"/>
  <c r="M49" i="15" s="1"/>
  <c r="K54" i="15"/>
  <c r="L54" i="15" s="1"/>
  <c r="M54" i="15" s="1"/>
  <c r="D6" i="31"/>
  <c r="D7" i="31" s="1"/>
  <c r="D8" i="31" s="1"/>
  <c r="D9" i="31" s="1"/>
  <c r="K49" i="31"/>
  <c r="L49" i="31" s="1"/>
  <c r="M49" i="31" s="1"/>
  <c r="K44" i="43"/>
  <c r="L44" i="43" s="1"/>
  <c r="M44" i="43" s="1"/>
  <c r="K44" i="45"/>
  <c r="L44" i="45" s="1"/>
  <c r="M44" i="45" s="1"/>
  <c r="K53" i="45"/>
  <c r="L53" i="45" s="1"/>
  <c r="M53" i="45" s="1"/>
  <c r="K51" i="46"/>
  <c r="L51" i="46" s="1"/>
  <c r="M51" i="46" s="1"/>
  <c r="K37" i="47"/>
  <c r="L37" i="47" s="1"/>
  <c r="M37" i="47" s="1"/>
  <c r="K55" i="47"/>
  <c r="L55" i="47" s="1"/>
  <c r="M55" i="47" s="1"/>
  <c r="K46" i="32"/>
  <c r="L46" i="32" s="1"/>
  <c r="M46" i="32" s="1"/>
  <c r="K55" i="32"/>
  <c r="L55" i="32" s="1"/>
  <c r="M55" i="32" s="1"/>
  <c r="K49" i="33"/>
  <c r="L49" i="33" s="1"/>
  <c r="M49" i="33" s="1"/>
  <c r="E6" i="33"/>
  <c r="E7" i="33" s="1"/>
  <c r="E8" i="33" s="1"/>
  <c r="E21" i="33" s="1"/>
  <c r="K52" i="33"/>
  <c r="L52" i="33" s="1"/>
  <c r="M52" i="33" s="1"/>
  <c r="K47" i="50"/>
  <c r="L47" i="50" s="1"/>
  <c r="M47" i="50" s="1"/>
  <c r="K51" i="50"/>
  <c r="L51" i="50" s="1"/>
  <c r="M51" i="50" s="1"/>
  <c r="K54" i="51"/>
  <c r="L54" i="51" s="1"/>
  <c r="M54" i="51" s="1"/>
  <c r="K44" i="51"/>
  <c r="L44" i="51" s="1"/>
  <c r="M44" i="51" s="1"/>
  <c r="K53" i="51"/>
  <c r="L53" i="51" s="1"/>
  <c r="M53" i="51" s="1"/>
  <c r="K49" i="53"/>
  <c r="L49" i="53" s="1"/>
  <c r="M49" i="53" s="1"/>
  <c r="K45" i="54"/>
  <c r="L45" i="54" s="1"/>
  <c r="M45" i="54" s="1"/>
  <c r="K51" i="54"/>
  <c r="L51" i="54" s="1"/>
  <c r="M51" i="54" s="1"/>
  <c r="K48" i="56"/>
  <c r="L48" i="56" s="1"/>
  <c r="M48" i="56" s="1"/>
  <c r="K44" i="56"/>
  <c r="L44" i="56" s="1"/>
  <c r="M44" i="56" s="1"/>
  <c r="K53" i="56"/>
  <c r="L53" i="56" s="1"/>
  <c r="M53" i="56" s="1"/>
  <c r="K56" i="57"/>
  <c r="L56" i="57" s="1"/>
  <c r="M56" i="57" s="1"/>
  <c r="K44" i="57"/>
  <c r="L44" i="57" s="1"/>
  <c r="M44" i="57" s="1"/>
  <c r="K53" i="57"/>
  <c r="L53" i="57" s="1"/>
  <c r="M53" i="57" s="1"/>
  <c r="K47" i="59"/>
  <c r="L47" i="59" s="1"/>
  <c r="M47" i="59" s="1"/>
  <c r="K56" i="59"/>
  <c r="L56" i="59" s="1"/>
  <c r="M56" i="59" s="1"/>
  <c r="K47" i="36"/>
  <c r="L47" i="36" s="1"/>
  <c r="M47" i="36" s="1"/>
  <c r="K56" i="36"/>
  <c r="L56" i="36" s="1"/>
  <c r="M56" i="36" s="1"/>
  <c r="K48" i="31"/>
  <c r="L48" i="31" s="1"/>
  <c r="M48" i="31" s="1"/>
  <c r="K51" i="31"/>
  <c r="L51" i="31" s="1"/>
  <c r="M51" i="31" s="1"/>
  <c r="K48" i="50"/>
  <c r="L48" i="50" s="1"/>
  <c r="M48" i="50" s="1"/>
  <c r="K42" i="50"/>
  <c r="L42" i="50" s="1"/>
  <c r="M42" i="50" s="1"/>
  <c r="K52" i="50"/>
  <c r="L52" i="50" s="1"/>
  <c r="M52" i="50" s="1"/>
  <c r="K45" i="51"/>
  <c r="L45" i="51" s="1"/>
  <c r="M45" i="51" s="1"/>
  <c r="K51" i="52"/>
  <c r="L51" i="52" s="1"/>
  <c r="M51" i="52" s="1"/>
  <c r="K42" i="52"/>
  <c r="L42" i="52" s="1"/>
  <c r="M42" i="52" s="1"/>
  <c r="K52" i="52"/>
  <c r="L52" i="52" s="1"/>
  <c r="M52" i="52" s="1"/>
  <c r="K40" i="53"/>
  <c r="L40" i="53" s="1"/>
  <c r="M40" i="53" s="1"/>
  <c r="K51" i="53"/>
  <c r="L51" i="53" s="1"/>
  <c r="M51" i="53" s="1"/>
  <c r="K46" i="54"/>
  <c r="L46" i="54" s="1"/>
  <c r="M46" i="54" s="1"/>
  <c r="K52" i="54"/>
  <c r="L52" i="54" s="1"/>
  <c r="M52" i="54" s="1"/>
  <c r="K45" i="56"/>
  <c r="L45" i="56" s="1"/>
  <c r="M45" i="56" s="1"/>
  <c r="K54" i="56"/>
  <c r="L54" i="56" s="1"/>
  <c r="M54" i="56" s="1"/>
  <c r="K45" i="57"/>
  <c r="L45" i="57" s="1"/>
  <c r="M45" i="57" s="1"/>
  <c r="K54" i="57"/>
  <c r="L54" i="57" s="1"/>
  <c r="M54" i="57" s="1"/>
  <c r="K39" i="59"/>
  <c r="L39" i="59" s="1"/>
  <c r="M39" i="59" s="1"/>
  <c r="K48" i="59"/>
  <c r="L48" i="59" s="1"/>
  <c r="M48" i="59" s="1"/>
  <c r="K42" i="57"/>
  <c r="L42" i="57" s="1"/>
  <c r="M42" i="57" s="1"/>
  <c r="K48" i="36"/>
  <c r="L48" i="36" s="1"/>
  <c r="M48" i="36" s="1"/>
  <c r="K53" i="37"/>
  <c r="L53" i="37" s="1"/>
  <c r="M53" i="37" s="1"/>
  <c r="K45" i="37"/>
  <c r="L45" i="37" s="1"/>
  <c r="M45" i="37" s="1"/>
  <c r="K54" i="37"/>
  <c r="L54" i="37" s="1"/>
  <c r="M54" i="37" s="1"/>
  <c r="K37" i="37"/>
  <c r="L37" i="37" s="1"/>
  <c r="M37" i="37" s="1"/>
  <c r="K37" i="38"/>
  <c r="L37" i="38" s="1"/>
  <c r="M37" i="38" s="1"/>
  <c r="K46" i="38"/>
  <c r="L46" i="38" s="1"/>
  <c r="M46" i="38" s="1"/>
  <c r="K55" i="38"/>
  <c r="L55" i="38" s="1"/>
  <c r="M55" i="38" s="1"/>
  <c r="K54" i="39"/>
  <c r="L54" i="39" s="1"/>
  <c r="M54" i="39" s="1"/>
  <c r="K44" i="39"/>
  <c r="L44" i="39" s="1"/>
  <c r="M44" i="39" s="1"/>
  <c r="K53" i="39"/>
  <c r="L53" i="39" s="1"/>
  <c r="M53" i="39" s="1"/>
  <c r="K40" i="40"/>
  <c r="L40" i="40" s="1"/>
  <c r="M40" i="40" s="1"/>
  <c r="K54" i="40"/>
  <c r="L54" i="40" s="1"/>
  <c r="M54" i="40" s="1"/>
  <c r="K56" i="41"/>
  <c r="L56" i="41" s="1"/>
  <c r="M56" i="41" s="1"/>
  <c r="K56" i="42"/>
  <c r="L56" i="42" s="1"/>
  <c r="M56" i="42" s="1"/>
  <c r="K44" i="42"/>
  <c r="L44" i="42" s="1"/>
  <c r="M44" i="42" s="1"/>
  <c r="K37" i="15"/>
  <c r="L37" i="15" s="1"/>
  <c r="M37" i="15" s="1"/>
  <c r="K56" i="15"/>
  <c r="L56" i="15" s="1"/>
  <c r="M56" i="15" s="1"/>
  <c r="K52" i="31"/>
  <c r="L52" i="31" s="1"/>
  <c r="M52" i="31" s="1"/>
  <c r="K53" i="50"/>
  <c r="L53" i="50" s="1"/>
  <c r="M53" i="50" s="1"/>
  <c r="K44" i="50"/>
  <c r="L44" i="50" s="1"/>
  <c r="M44" i="50" s="1"/>
  <c r="D6" i="51"/>
  <c r="D7" i="51" s="1"/>
  <c r="D8" i="51" s="1"/>
  <c r="D9" i="51" s="1"/>
  <c r="K46" i="51"/>
  <c r="L46" i="51" s="1"/>
  <c r="M46" i="51" s="1"/>
  <c r="K55" i="51"/>
  <c r="L55" i="51" s="1"/>
  <c r="M55" i="51" s="1"/>
  <c r="K56" i="52"/>
  <c r="L56" i="52" s="1"/>
  <c r="M56" i="52" s="1"/>
  <c r="K44" i="52"/>
  <c r="L44" i="52" s="1"/>
  <c r="M44" i="52" s="1"/>
  <c r="K53" i="52"/>
  <c r="L53" i="52" s="1"/>
  <c r="M53" i="52" s="1"/>
  <c r="K42" i="53"/>
  <c r="L42" i="53" s="1"/>
  <c r="M42" i="53" s="1"/>
  <c r="K52" i="53"/>
  <c r="L52" i="53" s="1"/>
  <c r="M52" i="53" s="1"/>
  <c r="K44" i="54"/>
  <c r="L44" i="54" s="1"/>
  <c r="M44" i="54" s="1"/>
  <c r="K53" i="54"/>
  <c r="L53" i="54" s="1"/>
  <c r="M53" i="54" s="1"/>
  <c r="K55" i="56"/>
  <c r="L55" i="56" s="1"/>
  <c r="M55" i="56" s="1"/>
  <c r="K55" i="57"/>
  <c r="L55" i="57" s="1"/>
  <c r="M55" i="57" s="1"/>
  <c r="K56" i="58"/>
  <c r="L56" i="58" s="1"/>
  <c r="M56" i="58" s="1"/>
  <c r="K44" i="59"/>
  <c r="L44" i="59" s="1"/>
  <c r="M44" i="59" s="1"/>
  <c r="K40" i="59"/>
  <c r="L40" i="59" s="1"/>
  <c r="M40" i="59" s="1"/>
  <c r="K48" i="15"/>
  <c r="L48" i="15" s="1"/>
  <c r="M48" i="15" s="1"/>
  <c r="K53" i="31"/>
  <c r="L53" i="31" s="1"/>
  <c r="M53" i="31" s="1"/>
  <c r="K38" i="43"/>
  <c r="L38" i="43" s="1"/>
  <c r="M38" i="43" s="1"/>
  <c r="K56" i="43"/>
  <c r="L56" i="43" s="1"/>
  <c r="M56" i="43" s="1"/>
  <c r="K45" i="45"/>
  <c r="L45" i="45" s="1"/>
  <c r="M45" i="45" s="1"/>
  <c r="K56" i="45"/>
  <c r="L56" i="45" s="1"/>
  <c r="M56" i="45" s="1"/>
  <c r="K45" i="46"/>
  <c r="L45" i="46" s="1"/>
  <c r="M45" i="46" s="1"/>
  <c r="K54" i="46"/>
  <c r="L54" i="46" s="1"/>
  <c r="M54" i="46" s="1"/>
  <c r="K44" i="47"/>
  <c r="L44" i="47" s="1"/>
  <c r="M44" i="47" s="1"/>
  <c r="K40" i="32"/>
  <c r="L40" i="32" s="1"/>
  <c r="M40" i="32" s="1"/>
  <c r="K49" i="32"/>
  <c r="L49" i="32" s="1"/>
  <c r="M49" i="32" s="1"/>
  <c r="K37" i="33"/>
  <c r="L37" i="33" s="1"/>
  <c r="M37" i="33" s="1"/>
  <c r="K55" i="33"/>
  <c r="L55" i="33" s="1"/>
  <c r="M55" i="33" s="1"/>
  <c r="K45" i="50"/>
  <c r="L45" i="50" s="1"/>
  <c r="M45" i="50" s="1"/>
  <c r="K54" i="50"/>
  <c r="L54" i="50" s="1"/>
  <c r="M54" i="50" s="1"/>
  <c r="K47" i="51"/>
  <c r="L47" i="51" s="1"/>
  <c r="M47" i="51" s="1"/>
  <c r="K56" i="51"/>
  <c r="L56" i="51" s="1"/>
  <c r="M56" i="51" s="1"/>
  <c r="K54" i="52"/>
  <c r="L54" i="52" s="1"/>
  <c r="M54" i="52" s="1"/>
  <c r="K44" i="53"/>
  <c r="L44" i="53" s="1"/>
  <c r="M44" i="53" s="1"/>
  <c r="K53" i="53"/>
  <c r="L53" i="53" s="1"/>
  <c r="M53" i="53" s="1"/>
  <c r="K54" i="54"/>
  <c r="L54" i="54" s="1"/>
  <c r="M54" i="54" s="1"/>
  <c r="K56" i="56"/>
  <c r="L56" i="56" s="1"/>
  <c r="M56" i="56" s="1"/>
  <c r="K38" i="57"/>
  <c r="L38" i="57" s="1"/>
  <c r="M38" i="57" s="1"/>
  <c r="K47" i="57"/>
  <c r="L47" i="57" s="1"/>
  <c r="M47" i="57" s="1"/>
  <c r="K39" i="58"/>
  <c r="L39" i="58" s="1"/>
  <c r="M39" i="58" s="1"/>
  <c r="K45" i="59"/>
  <c r="L45" i="59" s="1"/>
  <c r="M45" i="59" s="1"/>
  <c r="K51" i="59"/>
  <c r="L51" i="59" s="1"/>
  <c r="M51" i="59" s="1"/>
  <c r="K40" i="57"/>
  <c r="L40" i="57" s="1"/>
  <c r="M40" i="57" s="1"/>
  <c r="K51" i="36"/>
  <c r="L51" i="36" s="1"/>
  <c r="M51" i="36" s="1"/>
  <c r="K47" i="37"/>
  <c r="L47" i="37" s="1"/>
  <c r="M47" i="37" s="1"/>
  <c r="K42" i="38"/>
  <c r="L42" i="38" s="1"/>
  <c r="M42" i="38" s="1"/>
  <c r="K45" i="39"/>
  <c r="L45" i="39" s="1"/>
  <c r="M45" i="39" s="1"/>
  <c r="K37" i="39"/>
  <c r="L37" i="39" s="1"/>
  <c r="M37" i="39" s="1"/>
  <c r="K46" i="39"/>
  <c r="L46" i="39" s="1"/>
  <c r="M46" i="39" s="1"/>
  <c r="K55" i="39"/>
  <c r="L55" i="39" s="1"/>
  <c r="M55" i="39" s="1"/>
  <c r="K45" i="40"/>
  <c r="L45" i="40" s="1"/>
  <c r="M45" i="40" s="1"/>
  <c r="K56" i="40"/>
  <c r="L56" i="40" s="1"/>
  <c r="M56" i="40" s="1"/>
  <c r="K47" i="41"/>
  <c r="L47" i="41" s="1"/>
  <c r="M47" i="41" s="1"/>
  <c r="K40" i="41"/>
  <c r="L40" i="41" s="1"/>
  <c r="M40" i="41" s="1"/>
  <c r="K49" i="41"/>
  <c r="L49" i="41" s="1"/>
  <c r="M49" i="41" s="1"/>
  <c r="K55" i="42"/>
  <c r="L55" i="42" s="1"/>
  <c r="M55" i="42" s="1"/>
  <c r="K40" i="31"/>
  <c r="L40" i="31" s="1"/>
  <c r="M40" i="31" s="1"/>
  <c r="K45" i="31"/>
  <c r="L45" i="31" s="1"/>
  <c r="M45" i="31" s="1"/>
  <c r="K54" i="31"/>
  <c r="L54" i="31" s="1"/>
  <c r="M54" i="31" s="1"/>
  <c r="K42" i="43"/>
  <c r="L42" i="43" s="1"/>
  <c r="M42" i="43" s="1"/>
  <c r="K48" i="43"/>
  <c r="L48" i="43" s="1"/>
  <c r="M48" i="43" s="1"/>
  <c r="K37" i="44"/>
  <c r="L37" i="44" s="1"/>
  <c r="M37" i="44" s="1"/>
  <c r="K46" i="44"/>
  <c r="L46" i="44" s="1"/>
  <c r="M46" i="44" s="1"/>
  <c r="K55" i="44"/>
  <c r="L55" i="44" s="1"/>
  <c r="M55" i="44" s="1"/>
  <c r="K46" i="45"/>
  <c r="L46" i="45" s="1"/>
  <c r="M46" i="45" s="1"/>
  <c r="K48" i="45"/>
  <c r="L48" i="45" s="1"/>
  <c r="M48" i="45" s="1"/>
  <c r="K37" i="46"/>
  <c r="L37" i="46" s="1"/>
  <c r="M37" i="46" s="1"/>
  <c r="K46" i="46"/>
  <c r="L46" i="46" s="1"/>
  <c r="M46" i="46" s="1"/>
  <c r="K55" i="46"/>
  <c r="L55" i="46" s="1"/>
  <c r="M55" i="46" s="1"/>
  <c r="K46" i="47"/>
  <c r="L46" i="47" s="1"/>
  <c r="M46" i="47" s="1"/>
  <c r="K51" i="47"/>
  <c r="L51" i="47" s="1"/>
  <c r="M51" i="47" s="1"/>
  <c r="K39" i="32"/>
  <c r="L39" i="32" s="1"/>
  <c r="M39" i="32" s="1"/>
  <c r="K51" i="32"/>
  <c r="L51" i="32" s="1"/>
  <c r="M51" i="32" s="1"/>
  <c r="K38" i="33"/>
  <c r="L38" i="33" s="1"/>
  <c r="M38" i="33" s="1"/>
  <c r="K56" i="33"/>
  <c r="L56" i="33" s="1"/>
  <c r="M56" i="33" s="1"/>
  <c r="K37" i="50"/>
  <c r="L37" i="50" s="1"/>
  <c r="M37" i="50" s="1"/>
  <c r="K46" i="50"/>
  <c r="L46" i="50" s="1"/>
  <c r="M46" i="50" s="1"/>
  <c r="K55" i="50"/>
  <c r="L55" i="50" s="1"/>
  <c r="M55" i="50" s="1"/>
  <c r="K40" i="51"/>
  <c r="L40" i="51" s="1"/>
  <c r="M40" i="51" s="1"/>
  <c r="K48" i="51"/>
  <c r="L48" i="51" s="1"/>
  <c r="M48" i="51" s="1"/>
  <c r="K37" i="52"/>
  <c r="L37" i="52" s="1"/>
  <c r="M37" i="52" s="1"/>
  <c r="K46" i="52"/>
  <c r="L46" i="52" s="1"/>
  <c r="M46" i="52" s="1"/>
  <c r="K55" i="52"/>
  <c r="L55" i="52" s="1"/>
  <c r="M55" i="52" s="1"/>
  <c r="K45" i="53"/>
  <c r="L45" i="53" s="1"/>
  <c r="M45" i="53" s="1"/>
  <c r="K54" i="53"/>
  <c r="L54" i="53" s="1"/>
  <c r="M54" i="53" s="1"/>
  <c r="K37" i="54"/>
  <c r="L37" i="54" s="1"/>
  <c r="M37" i="54" s="1"/>
  <c r="K55" i="54"/>
  <c r="L55" i="54" s="1"/>
  <c r="M55" i="54" s="1"/>
  <c r="K56" i="55"/>
  <c r="L56" i="55" s="1"/>
  <c r="M56" i="55" s="1"/>
  <c r="K48" i="57"/>
  <c r="L48" i="57" s="1"/>
  <c r="M48" i="57" s="1"/>
  <c r="K40" i="58"/>
  <c r="L40" i="58" s="1"/>
  <c r="M40" i="58" s="1"/>
  <c r="K49" i="58"/>
  <c r="L49" i="58" s="1"/>
  <c r="M49" i="58" s="1"/>
  <c r="K42" i="59"/>
  <c r="L42" i="59" s="1"/>
  <c r="M42" i="59" s="1"/>
  <c r="K52" i="59"/>
  <c r="L52" i="59" s="1"/>
  <c r="M52" i="59" s="1"/>
  <c r="C17" i="59"/>
  <c r="D17" i="58"/>
  <c r="C17" i="57"/>
  <c r="C17" i="56"/>
  <c r="E17" i="56"/>
  <c r="D18" i="55"/>
  <c r="E17" i="55"/>
  <c r="D17" i="52"/>
  <c r="E15" i="51"/>
  <c r="C17" i="51"/>
  <c r="C17" i="50"/>
  <c r="E17" i="50"/>
  <c r="L56" i="50"/>
  <c r="M56" i="50" s="1"/>
  <c r="C17" i="49"/>
  <c r="D11" i="48"/>
  <c r="E18" i="32"/>
  <c r="D17" i="32"/>
  <c r="E17" i="47"/>
  <c r="E17" i="45"/>
  <c r="C17" i="45"/>
  <c r="C17" i="44"/>
  <c r="D17" i="44"/>
  <c r="C17" i="43"/>
  <c r="D17" i="43"/>
  <c r="L45" i="43"/>
  <c r="M45" i="43" s="1"/>
  <c r="L40" i="43"/>
  <c r="M40" i="43" s="1"/>
  <c r="L54" i="43"/>
  <c r="M54" i="43" s="1"/>
  <c r="C17" i="31"/>
  <c r="C17" i="16"/>
  <c r="C17" i="42"/>
  <c r="D17" i="39"/>
  <c r="E17" i="39"/>
  <c r="C17" i="38"/>
  <c r="D17" i="37"/>
  <c r="D17" i="57"/>
  <c r="D5" i="54"/>
  <c r="D6" i="54" s="1"/>
  <c r="D7" i="54" s="1"/>
  <c r="D8" i="54" s="1"/>
  <c r="D21" i="54" s="1"/>
  <c r="D16" i="36"/>
  <c r="D16" i="38"/>
  <c r="C15" i="42"/>
  <c r="C5" i="31"/>
  <c r="C6" i="31" s="1"/>
  <c r="C7" i="31" s="1"/>
  <c r="C8" i="31" s="1"/>
  <c r="C9" i="31" s="1"/>
  <c r="C14" i="43"/>
  <c r="D11" i="44"/>
  <c r="C17" i="46"/>
  <c r="C18" i="32"/>
  <c r="C17" i="33"/>
  <c r="D11" i="50"/>
  <c r="D11" i="51"/>
  <c r="D13" i="53"/>
  <c r="C14" i="55"/>
  <c r="C11" i="56"/>
  <c r="E15" i="46"/>
  <c r="E17" i="33"/>
  <c r="C17" i="41"/>
  <c r="C18" i="31"/>
  <c r="D13" i="44"/>
  <c r="D17" i="51"/>
  <c r="D14" i="44"/>
  <c r="E5" i="47"/>
  <c r="E6" i="47" s="1"/>
  <c r="E7" i="47" s="1"/>
  <c r="E8" i="47" s="1"/>
  <c r="E21" i="47" s="1"/>
  <c r="E11" i="33"/>
  <c r="E17" i="51"/>
  <c r="C15" i="56"/>
  <c r="D11" i="38"/>
  <c r="C11" i="41"/>
  <c r="C5" i="32"/>
  <c r="C6" i="32" s="1"/>
  <c r="C7" i="32" s="1"/>
  <c r="C8" i="32" s="1"/>
  <c r="C21" i="32" s="1"/>
  <c r="C14" i="48"/>
  <c r="C15" i="48"/>
  <c r="D18" i="51"/>
  <c r="D18" i="53"/>
  <c r="D17" i="55"/>
  <c r="D11" i="55"/>
  <c r="C13" i="31"/>
  <c r="C15" i="45"/>
  <c r="C5" i="46"/>
  <c r="C6" i="46" s="1"/>
  <c r="C7" i="46" s="1"/>
  <c r="C8" i="46" s="1"/>
  <c r="C21" i="46" s="1"/>
  <c r="E14" i="47"/>
  <c r="D14" i="51"/>
  <c r="C13" i="52"/>
  <c r="C15" i="31"/>
  <c r="D16" i="44"/>
  <c r="E18" i="47"/>
  <c r="D5" i="50"/>
  <c r="D6" i="50" s="1"/>
  <c r="D7" i="50" s="1"/>
  <c r="D8" i="50" s="1"/>
  <c r="D21" i="50" s="1"/>
  <c r="E14" i="59"/>
  <c r="E5" i="59"/>
  <c r="E6" i="59" s="1"/>
  <c r="E7" i="59" s="1"/>
  <c r="E8" i="59" s="1"/>
  <c r="E21" i="59" s="1"/>
  <c r="D5" i="59"/>
  <c r="D6" i="59" s="1"/>
  <c r="D7" i="59" s="1"/>
  <c r="D8" i="59" s="1"/>
  <c r="D9" i="59" s="1"/>
  <c r="D18" i="59"/>
  <c r="D11" i="59"/>
  <c r="D17" i="59"/>
  <c r="C13" i="59"/>
  <c r="C33" i="59"/>
  <c r="K46" i="59"/>
  <c r="L46" i="59" s="1"/>
  <c r="M46" i="59" s="1"/>
  <c r="B33" i="59"/>
  <c r="K37" i="59"/>
  <c r="L37" i="59" s="1"/>
  <c r="M37" i="59" s="1"/>
  <c r="C36" i="59"/>
  <c r="C34" i="59"/>
  <c r="C35" i="59"/>
  <c r="K38" i="59"/>
  <c r="L38" i="59" s="1"/>
  <c r="M38" i="59" s="1"/>
  <c r="C15" i="59"/>
  <c r="E17" i="59"/>
  <c r="M33" i="59"/>
  <c r="B36" i="59" s="1"/>
  <c r="C5" i="59"/>
  <c r="C6" i="59" s="1"/>
  <c r="C7" i="59" s="1"/>
  <c r="C8" i="59" s="1"/>
  <c r="D15" i="59"/>
  <c r="C18" i="59"/>
  <c r="C11" i="59"/>
  <c r="E13" i="59"/>
  <c r="D16" i="59"/>
  <c r="C14" i="59"/>
  <c r="E16" i="59"/>
  <c r="C16" i="59"/>
  <c r="E11" i="59"/>
  <c r="D14" i="59"/>
  <c r="K41" i="59"/>
  <c r="L41" i="59" s="1"/>
  <c r="M41" i="59" s="1"/>
  <c r="K51" i="58"/>
  <c r="L51" i="58" s="1"/>
  <c r="M51" i="58" s="1"/>
  <c r="D11" i="58"/>
  <c r="K37" i="58"/>
  <c r="L37" i="58" s="1"/>
  <c r="M37" i="58" s="1"/>
  <c r="C36" i="58"/>
  <c r="K53" i="58"/>
  <c r="L53" i="58" s="1"/>
  <c r="M53" i="58" s="1"/>
  <c r="C33" i="58"/>
  <c r="C34" i="58"/>
  <c r="J33" i="58"/>
  <c r="C5" i="58"/>
  <c r="C6" i="58" s="1"/>
  <c r="C7" i="58" s="1"/>
  <c r="C8" i="58" s="1"/>
  <c r="D15" i="58"/>
  <c r="C18" i="58"/>
  <c r="K48" i="58"/>
  <c r="L48" i="58" s="1"/>
  <c r="M48" i="58" s="1"/>
  <c r="D5" i="58"/>
  <c r="D6" i="58" s="1"/>
  <c r="D7" i="58" s="1"/>
  <c r="D8" i="58" s="1"/>
  <c r="C13" i="58"/>
  <c r="E15" i="58"/>
  <c r="D18" i="58"/>
  <c r="E17" i="58"/>
  <c r="E5" i="58"/>
  <c r="E6" i="58" s="1"/>
  <c r="E7" i="58" s="1"/>
  <c r="E8" i="58" s="1"/>
  <c r="D13" i="58"/>
  <c r="C16" i="58"/>
  <c r="E18" i="58"/>
  <c r="C35" i="58"/>
  <c r="K41" i="58"/>
  <c r="L41" i="58" s="1"/>
  <c r="M41" i="58" s="1"/>
  <c r="K47" i="58"/>
  <c r="L47" i="58" s="1"/>
  <c r="M47" i="58" s="1"/>
  <c r="K54" i="58"/>
  <c r="L54" i="58" s="1"/>
  <c r="M54" i="58" s="1"/>
  <c r="C11" i="58"/>
  <c r="E13" i="58"/>
  <c r="D16" i="58"/>
  <c r="K38" i="58"/>
  <c r="L38" i="58" s="1"/>
  <c r="M38" i="58" s="1"/>
  <c r="K46" i="58"/>
  <c r="L46" i="58" s="1"/>
  <c r="M46" i="58" s="1"/>
  <c r="E11" i="58"/>
  <c r="D14" i="58"/>
  <c r="E16" i="58"/>
  <c r="C33" i="57"/>
  <c r="D14" i="57"/>
  <c r="D13" i="57"/>
  <c r="O33" i="57"/>
  <c r="C34" i="57"/>
  <c r="K41" i="57"/>
  <c r="L41" i="57" s="1"/>
  <c r="M41" i="57" s="1"/>
  <c r="K37" i="57"/>
  <c r="L37" i="57" s="1"/>
  <c r="M37" i="57" s="1"/>
  <c r="C36" i="57"/>
  <c r="C5" i="57"/>
  <c r="C6" i="57" s="1"/>
  <c r="C7" i="57" s="1"/>
  <c r="C8" i="57" s="1"/>
  <c r="D15" i="57"/>
  <c r="C18" i="57"/>
  <c r="K39" i="57"/>
  <c r="L39" i="57" s="1"/>
  <c r="M39" i="57" s="1"/>
  <c r="D5" i="57"/>
  <c r="D6" i="57" s="1"/>
  <c r="D7" i="57" s="1"/>
  <c r="D8" i="57" s="1"/>
  <c r="C13" i="57"/>
  <c r="E15" i="57"/>
  <c r="D18" i="57"/>
  <c r="E5" i="57"/>
  <c r="E6" i="57" s="1"/>
  <c r="E7" i="57" s="1"/>
  <c r="E8" i="57" s="1"/>
  <c r="C16" i="57"/>
  <c r="E18" i="57"/>
  <c r="C35" i="57"/>
  <c r="C11" i="57"/>
  <c r="E13" i="57"/>
  <c r="D16" i="57"/>
  <c r="B33" i="57"/>
  <c r="E16" i="57"/>
  <c r="K51" i="56"/>
  <c r="L51" i="56" s="1"/>
  <c r="M51" i="56" s="1"/>
  <c r="E11" i="56"/>
  <c r="E13" i="56"/>
  <c r="E14" i="56"/>
  <c r="O33" i="56"/>
  <c r="B33" i="56"/>
  <c r="C33" i="56"/>
  <c r="K40" i="56"/>
  <c r="L40" i="56" s="1"/>
  <c r="M40" i="56" s="1"/>
  <c r="C35" i="56"/>
  <c r="C34" i="56"/>
  <c r="K41" i="56"/>
  <c r="L41" i="56" s="1"/>
  <c r="M41" i="56" s="1"/>
  <c r="C5" i="56"/>
  <c r="C6" i="56" s="1"/>
  <c r="C7" i="56" s="1"/>
  <c r="C8" i="56" s="1"/>
  <c r="D15" i="56"/>
  <c r="C18" i="56"/>
  <c r="K39" i="56"/>
  <c r="L39" i="56" s="1"/>
  <c r="M39" i="56" s="1"/>
  <c r="D5" i="56"/>
  <c r="D6" i="56" s="1"/>
  <c r="D7" i="56" s="1"/>
  <c r="D8" i="56" s="1"/>
  <c r="C13" i="56"/>
  <c r="E15" i="56"/>
  <c r="D18" i="56"/>
  <c r="E5" i="56"/>
  <c r="E6" i="56" s="1"/>
  <c r="E7" i="56" s="1"/>
  <c r="E8" i="56" s="1"/>
  <c r="D13" i="56"/>
  <c r="E18" i="56"/>
  <c r="O31" i="56"/>
  <c r="D16" i="56"/>
  <c r="K38" i="56"/>
  <c r="L38" i="56" s="1"/>
  <c r="M38" i="56" s="1"/>
  <c r="K46" i="56"/>
  <c r="L46" i="56" s="1"/>
  <c r="M46" i="56" s="1"/>
  <c r="D11" i="56"/>
  <c r="E16" i="56"/>
  <c r="D14" i="56"/>
  <c r="C36" i="56"/>
  <c r="C36" i="55"/>
  <c r="C34" i="55"/>
  <c r="E15" i="55"/>
  <c r="D14" i="55"/>
  <c r="D5" i="55"/>
  <c r="D16" i="55"/>
  <c r="C13" i="55"/>
  <c r="C11" i="55"/>
  <c r="O33" i="55"/>
  <c r="B33" i="55"/>
  <c r="C35" i="55"/>
  <c r="C33" i="55"/>
  <c r="C5" i="55"/>
  <c r="D15" i="55"/>
  <c r="C18" i="55"/>
  <c r="E5" i="55"/>
  <c r="D13" i="55"/>
  <c r="C16" i="55"/>
  <c r="E18" i="55"/>
  <c r="O31" i="55"/>
  <c r="E13" i="55"/>
  <c r="E16" i="55"/>
  <c r="C33" i="54"/>
  <c r="C34" i="54"/>
  <c r="K38" i="54"/>
  <c r="L38" i="54" s="1"/>
  <c r="M38" i="54" s="1"/>
  <c r="C35" i="54"/>
  <c r="J33" i="54"/>
  <c r="C5" i="54"/>
  <c r="C6" i="54" s="1"/>
  <c r="C7" i="54" s="1"/>
  <c r="C8" i="54" s="1"/>
  <c r="D15" i="54"/>
  <c r="C18" i="54"/>
  <c r="K39" i="54"/>
  <c r="L39" i="54" s="1"/>
  <c r="M39" i="54" s="1"/>
  <c r="C13" i="54"/>
  <c r="E15" i="54"/>
  <c r="D18" i="54"/>
  <c r="E5" i="54"/>
  <c r="E6" i="54" s="1"/>
  <c r="E7" i="54" s="1"/>
  <c r="E8" i="54" s="1"/>
  <c r="D13" i="54"/>
  <c r="C16" i="54"/>
  <c r="E18" i="54"/>
  <c r="K41" i="54"/>
  <c r="L41" i="54" s="1"/>
  <c r="M41" i="54" s="1"/>
  <c r="C11" i="54"/>
  <c r="E13" i="54"/>
  <c r="D16" i="54"/>
  <c r="D11" i="54"/>
  <c r="C14" i="54"/>
  <c r="E16" i="54"/>
  <c r="E11" i="54"/>
  <c r="D14" i="54"/>
  <c r="C36" i="54"/>
  <c r="C34" i="53"/>
  <c r="C33" i="53"/>
  <c r="E14" i="53"/>
  <c r="D17" i="53"/>
  <c r="D11" i="53"/>
  <c r="K37" i="53"/>
  <c r="L37" i="53" s="1"/>
  <c r="M37" i="53" s="1"/>
  <c r="C36" i="53"/>
  <c r="K38" i="53"/>
  <c r="L38" i="53" s="1"/>
  <c r="M38" i="53" s="1"/>
  <c r="C35" i="53"/>
  <c r="J33" i="53"/>
  <c r="C5" i="53"/>
  <c r="C6" i="53" s="1"/>
  <c r="C7" i="53" s="1"/>
  <c r="C8" i="53" s="1"/>
  <c r="D15" i="53"/>
  <c r="C18" i="53"/>
  <c r="K39" i="53"/>
  <c r="L39" i="53" s="1"/>
  <c r="M39" i="53" s="1"/>
  <c r="E5" i="53"/>
  <c r="E6" i="53" s="1"/>
  <c r="E7" i="53" s="1"/>
  <c r="E8" i="53" s="1"/>
  <c r="C16" i="53"/>
  <c r="E18" i="53"/>
  <c r="K41" i="53"/>
  <c r="L41" i="53" s="1"/>
  <c r="M41" i="53" s="1"/>
  <c r="C11" i="53"/>
  <c r="E13" i="53"/>
  <c r="D16" i="53"/>
  <c r="E16" i="53"/>
  <c r="E11" i="53"/>
  <c r="C34" i="52"/>
  <c r="C33" i="52"/>
  <c r="K38" i="52"/>
  <c r="L38" i="52" s="1"/>
  <c r="M38" i="52" s="1"/>
  <c r="C35" i="52"/>
  <c r="J33" i="52"/>
  <c r="C5" i="52"/>
  <c r="C6" i="52" s="1"/>
  <c r="C7" i="52" s="1"/>
  <c r="C8" i="52" s="1"/>
  <c r="D15" i="52"/>
  <c r="C18" i="52"/>
  <c r="K39" i="52"/>
  <c r="L39" i="52" s="1"/>
  <c r="M39" i="52" s="1"/>
  <c r="E5" i="52"/>
  <c r="E6" i="52" s="1"/>
  <c r="E7" i="52" s="1"/>
  <c r="E8" i="52" s="1"/>
  <c r="D13" i="52"/>
  <c r="C16" i="52"/>
  <c r="E18" i="52"/>
  <c r="K41" i="52"/>
  <c r="L41" i="52" s="1"/>
  <c r="M41" i="52" s="1"/>
  <c r="C11" i="52"/>
  <c r="E13" i="52"/>
  <c r="D16" i="52"/>
  <c r="D11" i="52"/>
  <c r="C14" i="52"/>
  <c r="E16" i="52"/>
  <c r="E11" i="52"/>
  <c r="D14" i="52"/>
  <c r="C36" i="52"/>
  <c r="C34" i="51"/>
  <c r="C13" i="51"/>
  <c r="C14" i="51"/>
  <c r="C15" i="51"/>
  <c r="K38" i="51"/>
  <c r="L38" i="51" s="1"/>
  <c r="M38" i="51" s="1"/>
  <c r="C35" i="51"/>
  <c r="K37" i="51"/>
  <c r="L37" i="51" s="1"/>
  <c r="M37" i="51" s="1"/>
  <c r="C36" i="51"/>
  <c r="C33" i="51"/>
  <c r="J33" i="51"/>
  <c r="C5" i="51"/>
  <c r="C6" i="51" s="1"/>
  <c r="C7" i="51" s="1"/>
  <c r="C8" i="51" s="1"/>
  <c r="D15" i="51"/>
  <c r="C18" i="51"/>
  <c r="K39" i="51"/>
  <c r="L39" i="51" s="1"/>
  <c r="M39" i="51" s="1"/>
  <c r="E5" i="51"/>
  <c r="E6" i="51" s="1"/>
  <c r="E7" i="51" s="1"/>
  <c r="E8" i="51" s="1"/>
  <c r="D13" i="51"/>
  <c r="C16" i="51"/>
  <c r="E18" i="51"/>
  <c r="K41" i="51"/>
  <c r="L41" i="51" s="1"/>
  <c r="M41" i="51" s="1"/>
  <c r="C11" i="51"/>
  <c r="E13" i="51"/>
  <c r="D16" i="51"/>
  <c r="E16" i="51"/>
  <c r="E11" i="51"/>
  <c r="C34" i="50"/>
  <c r="C33" i="50"/>
  <c r="E14" i="50"/>
  <c r="E15" i="50"/>
  <c r="D17" i="50"/>
  <c r="C13" i="50"/>
  <c r="C14" i="50"/>
  <c r="C15" i="50"/>
  <c r="C11" i="50"/>
  <c r="K38" i="50"/>
  <c r="L38" i="50" s="1"/>
  <c r="M38" i="50" s="1"/>
  <c r="C35" i="50"/>
  <c r="J33" i="50"/>
  <c r="C5" i="50"/>
  <c r="C6" i="50" s="1"/>
  <c r="C7" i="50" s="1"/>
  <c r="C8" i="50" s="1"/>
  <c r="D15" i="50"/>
  <c r="C18" i="50"/>
  <c r="K39" i="50"/>
  <c r="L39" i="50" s="1"/>
  <c r="M39" i="50" s="1"/>
  <c r="E5" i="50"/>
  <c r="E6" i="50" s="1"/>
  <c r="E7" i="50" s="1"/>
  <c r="E8" i="50" s="1"/>
  <c r="D13" i="50"/>
  <c r="C16" i="50"/>
  <c r="E18" i="50"/>
  <c r="K41" i="50"/>
  <c r="L41" i="50" s="1"/>
  <c r="M41" i="50" s="1"/>
  <c r="E13" i="50"/>
  <c r="D16" i="50"/>
  <c r="E16" i="50"/>
  <c r="E11" i="50"/>
  <c r="C36" i="50"/>
  <c r="C34" i="49"/>
  <c r="D14" i="49"/>
  <c r="D16" i="49"/>
  <c r="D11" i="49"/>
  <c r="D17" i="49"/>
  <c r="C33" i="49"/>
  <c r="C36" i="49"/>
  <c r="C35" i="49"/>
  <c r="O33" i="49"/>
  <c r="B33" i="49"/>
  <c r="C5" i="49"/>
  <c r="D15" i="49"/>
  <c r="C18" i="49"/>
  <c r="E17" i="49"/>
  <c r="E15" i="49"/>
  <c r="E5" i="49"/>
  <c r="D13" i="49"/>
  <c r="C16" i="49"/>
  <c r="E18" i="49"/>
  <c r="O31" i="49"/>
  <c r="E13" i="49"/>
  <c r="E16" i="49"/>
  <c r="E11" i="49"/>
  <c r="C34" i="48"/>
  <c r="C33" i="48"/>
  <c r="D17" i="48"/>
  <c r="D5" i="48"/>
  <c r="D18" i="48"/>
  <c r="C17" i="48"/>
  <c r="C35" i="48"/>
  <c r="J33" i="48"/>
  <c r="C5" i="48"/>
  <c r="D15" i="48"/>
  <c r="C18" i="48"/>
  <c r="K39" i="48"/>
  <c r="L39" i="48" s="1"/>
  <c r="M39" i="48" s="1"/>
  <c r="C16" i="48"/>
  <c r="C11" i="48"/>
  <c r="E13" i="48"/>
  <c r="D16" i="48"/>
  <c r="C36" i="48"/>
  <c r="C33" i="33"/>
  <c r="C36" i="33"/>
  <c r="E18" i="33"/>
  <c r="D14" i="33"/>
  <c r="D17" i="33"/>
  <c r="K47" i="33"/>
  <c r="L47" i="33" s="1"/>
  <c r="M47" i="33" s="1"/>
  <c r="C35" i="33"/>
  <c r="C34" i="33"/>
  <c r="K41" i="33"/>
  <c r="L41" i="33" s="1"/>
  <c r="M41" i="33" s="1"/>
  <c r="C5" i="33"/>
  <c r="C6" i="33" s="1"/>
  <c r="C7" i="33" s="1"/>
  <c r="C8" i="33" s="1"/>
  <c r="D15" i="33"/>
  <c r="C18" i="33"/>
  <c r="K39" i="33"/>
  <c r="L39" i="33" s="1"/>
  <c r="M39" i="33" s="1"/>
  <c r="K42" i="33"/>
  <c r="L42" i="33" s="1"/>
  <c r="M42" i="33" s="1"/>
  <c r="J33" i="33"/>
  <c r="D5" i="33"/>
  <c r="D6" i="33" s="1"/>
  <c r="D7" i="33" s="1"/>
  <c r="D8" i="33" s="1"/>
  <c r="C13" i="33"/>
  <c r="E15" i="33"/>
  <c r="D18" i="33"/>
  <c r="C16" i="33"/>
  <c r="C11" i="33"/>
  <c r="E13" i="33"/>
  <c r="C14" i="33"/>
  <c r="E16" i="33"/>
  <c r="E17" i="32"/>
  <c r="E14" i="32"/>
  <c r="E5" i="32"/>
  <c r="E6" i="32" s="1"/>
  <c r="E7" i="32" s="1"/>
  <c r="E8" i="32" s="1"/>
  <c r="E9" i="32" s="1"/>
  <c r="E10" i="32" s="1"/>
  <c r="E15" i="32"/>
  <c r="D5" i="32"/>
  <c r="D6" i="32" s="1"/>
  <c r="D7" i="32" s="1"/>
  <c r="D8" i="32" s="1"/>
  <c r="D21" i="32" s="1"/>
  <c r="C13" i="32"/>
  <c r="C17" i="32"/>
  <c r="C34" i="32"/>
  <c r="K41" i="32"/>
  <c r="L41" i="32" s="1"/>
  <c r="M41" i="32" s="1"/>
  <c r="K37" i="32"/>
  <c r="L37" i="32" s="1"/>
  <c r="M37" i="32" s="1"/>
  <c r="C36" i="32"/>
  <c r="K38" i="32"/>
  <c r="L38" i="32" s="1"/>
  <c r="M38" i="32" s="1"/>
  <c r="C35" i="32"/>
  <c r="O33" i="32"/>
  <c r="B33" i="32"/>
  <c r="C16" i="32"/>
  <c r="O31" i="32"/>
  <c r="C11" i="32"/>
  <c r="E13" i="32"/>
  <c r="D16" i="32"/>
  <c r="C14" i="32"/>
  <c r="E16" i="32"/>
  <c r="C33" i="32"/>
  <c r="E11" i="32"/>
  <c r="E11" i="47"/>
  <c r="D14" i="47"/>
  <c r="C33" i="47"/>
  <c r="K39" i="47"/>
  <c r="L39" i="47" s="1"/>
  <c r="M39" i="47" s="1"/>
  <c r="K40" i="47"/>
  <c r="L40" i="47" s="1"/>
  <c r="M40" i="47" s="1"/>
  <c r="C35" i="47"/>
  <c r="K41" i="47"/>
  <c r="L41" i="47" s="1"/>
  <c r="M41" i="47" s="1"/>
  <c r="C34" i="47"/>
  <c r="C36" i="47"/>
  <c r="K42" i="47"/>
  <c r="L42" i="47" s="1"/>
  <c r="M42" i="47" s="1"/>
  <c r="O33" i="47"/>
  <c r="B33" i="47"/>
  <c r="C15" i="47"/>
  <c r="C5" i="47"/>
  <c r="C6" i="47" s="1"/>
  <c r="C7" i="47" s="1"/>
  <c r="C8" i="47" s="1"/>
  <c r="D15" i="47"/>
  <c r="C18" i="47"/>
  <c r="D5" i="47"/>
  <c r="D6" i="47" s="1"/>
  <c r="D7" i="47" s="1"/>
  <c r="D8" i="47" s="1"/>
  <c r="C13" i="47"/>
  <c r="E15" i="47"/>
  <c r="D18" i="47"/>
  <c r="C11" i="47"/>
  <c r="E13" i="47"/>
  <c r="D16" i="47"/>
  <c r="C16" i="47"/>
  <c r="D11" i="47"/>
  <c r="C14" i="47"/>
  <c r="E16" i="47"/>
  <c r="E14" i="46"/>
  <c r="E17" i="46"/>
  <c r="D14" i="46"/>
  <c r="C13" i="46"/>
  <c r="C15" i="46"/>
  <c r="C14" i="46"/>
  <c r="K38" i="46"/>
  <c r="L38" i="46" s="1"/>
  <c r="M38" i="46" s="1"/>
  <c r="C35" i="46"/>
  <c r="C34" i="46"/>
  <c r="K41" i="46"/>
  <c r="L41" i="46" s="1"/>
  <c r="M41" i="46" s="1"/>
  <c r="J33" i="46"/>
  <c r="E5" i="46"/>
  <c r="E6" i="46" s="1"/>
  <c r="E7" i="46" s="1"/>
  <c r="E8" i="46" s="1"/>
  <c r="D13" i="46"/>
  <c r="C16" i="46"/>
  <c r="E18" i="46"/>
  <c r="C11" i="46"/>
  <c r="E13" i="46"/>
  <c r="D16" i="46"/>
  <c r="D11" i="46"/>
  <c r="E16" i="46"/>
  <c r="C33" i="46"/>
  <c r="C36" i="46"/>
  <c r="K49" i="45"/>
  <c r="L49" i="45" s="1"/>
  <c r="M49" i="45" s="1"/>
  <c r="C13" i="45"/>
  <c r="K38" i="45"/>
  <c r="L38" i="45" s="1"/>
  <c r="M38" i="45" s="1"/>
  <c r="C35" i="45"/>
  <c r="C9" i="45"/>
  <c r="C21" i="45"/>
  <c r="C34" i="45"/>
  <c r="K41" i="45"/>
  <c r="L41" i="45" s="1"/>
  <c r="M41" i="45" s="1"/>
  <c r="O33" i="45"/>
  <c r="B33" i="45"/>
  <c r="C33" i="45"/>
  <c r="D21" i="45"/>
  <c r="C36" i="45"/>
  <c r="K39" i="45"/>
  <c r="L39" i="45" s="1"/>
  <c r="M39" i="45" s="1"/>
  <c r="E5" i="45"/>
  <c r="E6" i="45" s="1"/>
  <c r="E7" i="45" s="1"/>
  <c r="E8" i="45" s="1"/>
  <c r="D13" i="45"/>
  <c r="C16" i="45"/>
  <c r="E18" i="45"/>
  <c r="O31" i="45"/>
  <c r="C11" i="45"/>
  <c r="E13" i="45"/>
  <c r="D16" i="45"/>
  <c r="D11" i="45"/>
  <c r="C14" i="45"/>
  <c r="E16" i="45"/>
  <c r="E11" i="45"/>
  <c r="D14" i="45"/>
  <c r="K42" i="45"/>
  <c r="L42" i="45" s="1"/>
  <c r="M42" i="45" s="1"/>
  <c r="K37" i="45"/>
  <c r="L37" i="45" s="1"/>
  <c r="M37" i="45" s="1"/>
  <c r="C35" i="44"/>
  <c r="O33" i="44"/>
  <c r="B33" i="44"/>
  <c r="C34" i="44"/>
  <c r="K41" i="44"/>
  <c r="L41" i="44" s="1"/>
  <c r="M41" i="44" s="1"/>
  <c r="C33" i="44"/>
  <c r="K39" i="44"/>
  <c r="L39" i="44" s="1"/>
  <c r="M39" i="44" s="1"/>
  <c r="C15" i="44"/>
  <c r="E17" i="44"/>
  <c r="C5" i="44"/>
  <c r="C6" i="44" s="1"/>
  <c r="C7" i="44" s="1"/>
  <c r="C8" i="44" s="1"/>
  <c r="D15" i="44"/>
  <c r="C18" i="44"/>
  <c r="D5" i="44"/>
  <c r="D6" i="44" s="1"/>
  <c r="D7" i="44" s="1"/>
  <c r="D8" i="44" s="1"/>
  <c r="C13" i="44"/>
  <c r="E15" i="44"/>
  <c r="D18" i="44"/>
  <c r="E5" i="44"/>
  <c r="E6" i="44" s="1"/>
  <c r="E7" i="44" s="1"/>
  <c r="E8" i="44" s="1"/>
  <c r="C16" i="44"/>
  <c r="E18" i="44"/>
  <c r="C11" i="44"/>
  <c r="E13" i="44"/>
  <c r="C14" i="44"/>
  <c r="E16" i="44"/>
  <c r="E11" i="44"/>
  <c r="C36" i="44"/>
  <c r="C33" i="43"/>
  <c r="K47" i="43"/>
  <c r="L47" i="43" s="1"/>
  <c r="M47" i="43" s="1"/>
  <c r="C35" i="43"/>
  <c r="C34" i="43"/>
  <c r="K41" i="43"/>
  <c r="L41" i="43" s="1"/>
  <c r="M41" i="43" s="1"/>
  <c r="C6" i="43"/>
  <c r="C7" i="43" s="1"/>
  <c r="C8" i="43" s="1"/>
  <c r="D15" i="43"/>
  <c r="C18" i="43"/>
  <c r="K39" i="43"/>
  <c r="L39" i="43" s="1"/>
  <c r="M39" i="43" s="1"/>
  <c r="J33" i="43"/>
  <c r="D5" i="43"/>
  <c r="D6" i="43" s="1"/>
  <c r="D7" i="43" s="1"/>
  <c r="D8" i="43" s="1"/>
  <c r="C13" i="43"/>
  <c r="E15" i="43"/>
  <c r="D18" i="43"/>
  <c r="E5" i="43"/>
  <c r="E6" i="43" s="1"/>
  <c r="E7" i="43" s="1"/>
  <c r="E8" i="43" s="1"/>
  <c r="C16" i="43"/>
  <c r="E18" i="43"/>
  <c r="C11" i="43"/>
  <c r="E13" i="43"/>
  <c r="E16" i="43"/>
  <c r="C36" i="43"/>
  <c r="E14" i="31"/>
  <c r="E18" i="31"/>
  <c r="E13" i="31"/>
  <c r="E5" i="31"/>
  <c r="E6" i="31" s="1"/>
  <c r="E7" i="31" s="1"/>
  <c r="E8" i="31" s="1"/>
  <c r="E21" i="31" s="1"/>
  <c r="J33" i="31"/>
  <c r="K38" i="31"/>
  <c r="L38" i="31" s="1"/>
  <c r="M38" i="31" s="1"/>
  <c r="C35" i="31"/>
  <c r="C33" i="31"/>
  <c r="C34" i="31"/>
  <c r="K41" i="31"/>
  <c r="L41" i="31" s="1"/>
  <c r="M41" i="31" s="1"/>
  <c r="K39" i="31"/>
  <c r="L39" i="31" s="1"/>
  <c r="M39" i="31" s="1"/>
  <c r="C16" i="31"/>
  <c r="C11" i="31"/>
  <c r="D16" i="31"/>
  <c r="D11" i="31"/>
  <c r="C14" i="31"/>
  <c r="E16" i="31"/>
  <c r="D14" i="31"/>
  <c r="C36" i="31"/>
  <c r="K47" i="16"/>
  <c r="L47" i="16" s="1"/>
  <c r="M47" i="16" s="1"/>
  <c r="K52" i="16"/>
  <c r="L52" i="16" s="1"/>
  <c r="M52" i="16" s="1"/>
  <c r="K53" i="16"/>
  <c r="L53" i="16" s="1"/>
  <c r="M53" i="16" s="1"/>
  <c r="K45" i="16"/>
  <c r="L45" i="16" s="1"/>
  <c r="M45" i="16" s="1"/>
  <c r="K55" i="16"/>
  <c r="L55" i="16" s="1"/>
  <c r="M55" i="16" s="1"/>
  <c r="E6" i="16"/>
  <c r="E7" i="16" s="1"/>
  <c r="E8" i="16" s="1"/>
  <c r="E9" i="16" s="1"/>
  <c r="K56" i="16"/>
  <c r="L56" i="16" s="1"/>
  <c r="M56" i="16" s="1"/>
  <c r="K49" i="16"/>
  <c r="L49" i="16" s="1"/>
  <c r="M49" i="16" s="1"/>
  <c r="C5" i="16"/>
  <c r="C6" i="16" s="1"/>
  <c r="C7" i="16" s="1"/>
  <c r="C8" i="16" s="1"/>
  <c r="C9" i="16" s="1"/>
  <c r="O33" i="16"/>
  <c r="B33" i="16"/>
  <c r="K40" i="16"/>
  <c r="L40" i="16" s="1"/>
  <c r="M40" i="16" s="1"/>
  <c r="C35" i="16"/>
  <c r="C34" i="16"/>
  <c r="K41" i="16"/>
  <c r="L41" i="16" s="1"/>
  <c r="M41" i="16" s="1"/>
  <c r="C33" i="16"/>
  <c r="K39" i="16"/>
  <c r="L39" i="16" s="1"/>
  <c r="M39" i="16" s="1"/>
  <c r="C36" i="16"/>
  <c r="K42" i="16"/>
  <c r="L42" i="16" s="1"/>
  <c r="M42" i="16" s="1"/>
  <c r="C15" i="16"/>
  <c r="E17" i="16"/>
  <c r="D5" i="16"/>
  <c r="D6" i="16" s="1"/>
  <c r="D7" i="16" s="1"/>
  <c r="D8" i="16" s="1"/>
  <c r="C13" i="16"/>
  <c r="E15" i="16"/>
  <c r="D18" i="16"/>
  <c r="D13" i="16"/>
  <c r="C16" i="16"/>
  <c r="O31" i="16"/>
  <c r="C11" i="16"/>
  <c r="D16" i="16"/>
  <c r="K38" i="16"/>
  <c r="L38" i="16" s="1"/>
  <c r="M38" i="16" s="1"/>
  <c r="K46" i="16"/>
  <c r="L46" i="16" s="1"/>
  <c r="M46" i="16" s="1"/>
  <c r="K51" i="16"/>
  <c r="L51" i="16" s="1"/>
  <c r="M51" i="16" s="1"/>
  <c r="D11" i="16"/>
  <c r="C14" i="16"/>
  <c r="E16" i="16"/>
  <c r="E11" i="16"/>
  <c r="D14" i="16"/>
  <c r="K37" i="16"/>
  <c r="L37" i="16" s="1"/>
  <c r="M37" i="16" s="1"/>
  <c r="K53" i="15"/>
  <c r="L53" i="15" s="1"/>
  <c r="M53" i="15" s="1"/>
  <c r="E11" i="15"/>
  <c r="D17" i="15"/>
  <c r="D11" i="15"/>
  <c r="D16" i="15"/>
  <c r="K41" i="15"/>
  <c r="L41" i="15" s="1"/>
  <c r="M41" i="15" s="1"/>
  <c r="C34" i="15"/>
  <c r="O33" i="15"/>
  <c r="B33" i="15"/>
  <c r="K42" i="15"/>
  <c r="L42" i="15" s="1"/>
  <c r="M42" i="15" s="1"/>
  <c r="C36" i="15"/>
  <c r="K38" i="15"/>
  <c r="L38" i="15" s="1"/>
  <c r="M38" i="15" s="1"/>
  <c r="C35" i="15"/>
  <c r="C33" i="15"/>
  <c r="K39" i="15"/>
  <c r="L39" i="15" s="1"/>
  <c r="M39" i="15" s="1"/>
  <c r="C15" i="15"/>
  <c r="E17" i="15"/>
  <c r="C5" i="15"/>
  <c r="C6" i="15" s="1"/>
  <c r="C7" i="15" s="1"/>
  <c r="C8" i="15" s="1"/>
  <c r="D15" i="15"/>
  <c r="C18" i="15"/>
  <c r="D5" i="15"/>
  <c r="D6" i="15" s="1"/>
  <c r="D7" i="15" s="1"/>
  <c r="D8" i="15" s="1"/>
  <c r="C13" i="15"/>
  <c r="E15" i="15"/>
  <c r="D18" i="15"/>
  <c r="E5" i="15"/>
  <c r="E6" i="15" s="1"/>
  <c r="E7" i="15" s="1"/>
  <c r="E8" i="15" s="1"/>
  <c r="D13" i="15"/>
  <c r="C16" i="15"/>
  <c r="E18" i="15"/>
  <c r="E13" i="15"/>
  <c r="E16" i="15"/>
  <c r="K45" i="15"/>
  <c r="L45" i="15" s="1"/>
  <c r="M45" i="15" s="1"/>
  <c r="C34" i="42"/>
  <c r="C33" i="42"/>
  <c r="K38" i="42"/>
  <c r="L38" i="42" s="1"/>
  <c r="M38" i="42" s="1"/>
  <c r="C35" i="42"/>
  <c r="D9" i="42"/>
  <c r="D21" i="42"/>
  <c r="E21" i="42"/>
  <c r="E9" i="42"/>
  <c r="E10" i="42" s="1"/>
  <c r="K37" i="42"/>
  <c r="L37" i="42" s="1"/>
  <c r="M37" i="42" s="1"/>
  <c r="C36" i="42"/>
  <c r="J33" i="42"/>
  <c r="C5" i="42"/>
  <c r="C6" i="42" s="1"/>
  <c r="C7" i="42" s="1"/>
  <c r="C8" i="42" s="1"/>
  <c r="D15" i="42"/>
  <c r="C18" i="42"/>
  <c r="K39" i="42"/>
  <c r="L39" i="42" s="1"/>
  <c r="M39" i="42" s="1"/>
  <c r="D33" i="42" s="1"/>
  <c r="I6" i="42" s="1"/>
  <c r="K6" i="42" s="1"/>
  <c r="K41" i="42"/>
  <c r="L41" i="42" s="1"/>
  <c r="M41" i="42" s="1"/>
  <c r="C16" i="42"/>
  <c r="C11" i="42"/>
  <c r="E13" i="42"/>
  <c r="D16" i="42"/>
  <c r="C14" i="42"/>
  <c r="E11" i="42"/>
  <c r="E16" i="42"/>
  <c r="C34" i="41"/>
  <c r="D5" i="41"/>
  <c r="D6" i="41" s="1"/>
  <c r="D7" i="41" s="1"/>
  <c r="D8" i="41" s="1"/>
  <c r="D21" i="41" s="1"/>
  <c r="D14" i="41"/>
  <c r="D16" i="41"/>
  <c r="D11" i="41"/>
  <c r="D17" i="41"/>
  <c r="K38" i="41"/>
  <c r="L38" i="41" s="1"/>
  <c r="M38" i="41" s="1"/>
  <c r="C35" i="41"/>
  <c r="C33" i="41"/>
  <c r="K46" i="41"/>
  <c r="L46" i="41" s="1"/>
  <c r="M46" i="41" s="1"/>
  <c r="E17" i="41"/>
  <c r="J33" i="41"/>
  <c r="C5" i="41"/>
  <c r="C6" i="41" s="1"/>
  <c r="C7" i="41" s="1"/>
  <c r="C8" i="41" s="1"/>
  <c r="D15" i="41"/>
  <c r="C18" i="41"/>
  <c r="E15" i="41"/>
  <c r="E5" i="41"/>
  <c r="E6" i="41" s="1"/>
  <c r="E7" i="41" s="1"/>
  <c r="E8" i="41" s="1"/>
  <c r="D13" i="41"/>
  <c r="C16" i="41"/>
  <c r="E18" i="41"/>
  <c r="K41" i="41"/>
  <c r="L41" i="41" s="1"/>
  <c r="M41" i="41" s="1"/>
  <c r="E11" i="41"/>
  <c r="E13" i="41"/>
  <c r="E16" i="41"/>
  <c r="C36" i="41"/>
  <c r="C33" i="40"/>
  <c r="E14" i="40"/>
  <c r="E15" i="40"/>
  <c r="E11" i="40"/>
  <c r="E16" i="40"/>
  <c r="E17" i="40"/>
  <c r="C36" i="40"/>
  <c r="C34" i="40"/>
  <c r="K38" i="40"/>
  <c r="L38" i="40" s="1"/>
  <c r="M38" i="40" s="1"/>
  <c r="C35" i="40"/>
  <c r="O33" i="40"/>
  <c r="B33" i="40"/>
  <c r="C5" i="40"/>
  <c r="C6" i="40" s="1"/>
  <c r="C7" i="40" s="1"/>
  <c r="C8" i="40" s="1"/>
  <c r="D15" i="40"/>
  <c r="C18" i="40"/>
  <c r="K39" i="40"/>
  <c r="L39" i="40" s="1"/>
  <c r="M39" i="40" s="1"/>
  <c r="K42" i="40"/>
  <c r="L42" i="40" s="1"/>
  <c r="M42" i="40" s="1"/>
  <c r="K48" i="40"/>
  <c r="L48" i="40" s="1"/>
  <c r="M48" i="40" s="1"/>
  <c r="D5" i="40"/>
  <c r="D6" i="40" s="1"/>
  <c r="D7" i="40" s="1"/>
  <c r="D8" i="40" s="1"/>
  <c r="D18" i="40"/>
  <c r="E5" i="40"/>
  <c r="E6" i="40" s="1"/>
  <c r="E7" i="40" s="1"/>
  <c r="E8" i="40" s="1"/>
  <c r="D13" i="40"/>
  <c r="C16" i="40"/>
  <c r="E18" i="40"/>
  <c r="O31" i="40"/>
  <c r="D16" i="40"/>
  <c r="D11" i="40"/>
  <c r="D14" i="40"/>
  <c r="C35" i="39"/>
  <c r="K38" i="39"/>
  <c r="L38" i="39" s="1"/>
  <c r="M38" i="39" s="1"/>
  <c r="C33" i="39"/>
  <c r="C34" i="39"/>
  <c r="K41" i="39"/>
  <c r="L41" i="39" s="1"/>
  <c r="M41" i="39" s="1"/>
  <c r="D14" i="39"/>
  <c r="J33" i="39"/>
  <c r="C5" i="39"/>
  <c r="C6" i="39" s="1"/>
  <c r="C7" i="39" s="1"/>
  <c r="C8" i="39" s="1"/>
  <c r="D15" i="39"/>
  <c r="C18" i="39"/>
  <c r="K39" i="39"/>
  <c r="L39" i="39" s="1"/>
  <c r="M39" i="39" s="1"/>
  <c r="D5" i="39"/>
  <c r="D6" i="39" s="1"/>
  <c r="D7" i="39" s="1"/>
  <c r="D8" i="39" s="1"/>
  <c r="C13" i="39"/>
  <c r="E15" i="39"/>
  <c r="D18" i="39"/>
  <c r="D16" i="39"/>
  <c r="E5" i="39"/>
  <c r="E6" i="39" s="1"/>
  <c r="E7" i="39" s="1"/>
  <c r="E8" i="39" s="1"/>
  <c r="D13" i="39"/>
  <c r="C16" i="39"/>
  <c r="E18" i="39"/>
  <c r="D11" i="39"/>
  <c r="E16" i="39"/>
  <c r="C36" i="39"/>
  <c r="K56" i="38"/>
  <c r="L56" i="38" s="1"/>
  <c r="M56" i="38" s="1"/>
  <c r="K52" i="38"/>
  <c r="L52" i="38" s="1"/>
  <c r="M52" i="38" s="1"/>
  <c r="K44" i="38"/>
  <c r="L44" i="38" s="1"/>
  <c r="M44" i="38" s="1"/>
  <c r="K48" i="38"/>
  <c r="L48" i="38" s="1"/>
  <c r="M48" i="38" s="1"/>
  <c r="C35" i="38"/>
  <c r="C11" i="38"/>
  <c r="O33" i="38"/>
  <c r="B33" i="38"/>
  <c r="K41" i="38"/>
  <c r="L41" i="38" s="1"/>
  <c r="M41" i="38" s="1"/>
  <c r="C34" i="38"/>
  <c r="C33" i="38"/>
  <c r="K39" i="38"/>
  <c r="L39" i="38" s="1"/>
  <c r="M39" i="38" s="1"/>
  <c r="E14" i="38"/>
  <c r="C36" i="38"/>
  <c r="E17" i="38"/>
  <c r="C5" i="38"/>
  <c r="C6" i="38" s="1"/>
  <c r="C7" i="38" s="1"/>
  <c r="C8" i="38" s="1"/>
  <c r="D15" i="38"/>
  <c r="C18" i="38"/>
  <c r="E11" i="38"/>
  <c r="C15" i="38"/>
  <c r="D5" i="38"/>
  <c r="D6" i="38" s="1"/>
  <c r="D7" i="38" s="1"/>
  <c r="D8" i="38" s="1"/>
  <c r="C13" i="38"/>
  <c r="E15" i="38"/>
  <c r="D18" i="38"/>
  <c r="E5" i="38"/>
  <c r="E6" i="38" s="1"/>
  <c r="E7" i="38" s="1"/>
  <c r="E8" i="38" s="1"/>
  <c r="C16" i="38"/>
  <c r="E18" i="38"/>
  <c r="E13" i="38"/>
  <c r="E18" i="37"/>
  <c r="E13" i="35"/>
  <c r="E17" i="35"/>
  <c r="C16" i="36"/>
  <c r="C16" i="37"/>
  <c r="C15" i="37"/>
  <c r="O33" i="37"/>
  <c r="B33" i="37"/>
  <c r="C34" i="37"/>
  <c r="K41" i="37"/>
  <c r="L41" i="37" s="1"/>
  <c r="M41" i="37" s="1"/>
  <c r="K38" i="37"/>
  <c r="L38" i="37" s="1"/>
  <c r="M38" i="37" s="1"/>
  <c r="C35" i="37"/>
  <c r="C33" i="37"/>
  <c r="D11" i="37"/>
  <c r="E11" i="37"/>
  <c r="D15" i="37"/>
  <c r="C18" i="37"/>
  <c r="K39" i="37"/>
  <c r="L39" i="37" s="1"/>
  <c r="M39" i="37" s="1"/>
  <c r="C13" i="37"/>
  <c r="E15" i="37"/>
  <c r="D18" i="37"/>
  <c r="D13" i="37"/>
  <c r="O31" i="37"/>
  <c r="C5" i="37"/>
  <c r="C6" i="37" s="1"/>
  <c r="C7" i="37" s="1"/>
  <c r="C8" i="37" s="1"/>
  <c r="E13" i="37"/>
  <c r="D16" i="37"/>
  <c r="D5" i="37"/>
  <c r="D6" i="37" s="1"/>
  <c r="D7" i="37" s="1"/>
  <c r="D8" i="37" s="1"/>
  <c r="C14" i="37"/>
  <c r="E16" i="37"/>
  <c r="E5" i="37"/>
  <c r="E6" i="37" s="1"/>
  <c r="E7" i="37" s="1"/>
  <c r="E8" i="37" s="1"/>
  <c r="D14" i="37"/>
  <c r="C17" i="37"/>
  <c r="C36" i="37"/>
  <c r="C16" i="35"/>
  <c r="D16" i="35"/>
  <c r="E16" i="36"/>
  <c r="E11" i="36"/>
  <c r="E17" i="36"/>
  <c r="E13" i="36"/>
  <c r="D17" i="36"/>
  <c r="D5" i="36"/>
  <c r="D6" i="36" s="1"/>
  <c r="D7" i="36" s="1"/>
  <c r="D8" i="36" s="1"/>
  <c r="D21" i="36" s="1"/>
  <c r="C17" i="36"/>
  <c r="C5" i="36"/>
  <c r="C6" i="36" s="1"/>
  <c r="C7" i="36" s="1"/>
  <c r="C8" i="36" s="1"/>
  <c r="C9" i="36" s="1"/>
  <c r="C11" i="36"/>
  <c r="C33" i="36"/>
  <c r="K39" i="36"/>
  <c r="L39" i="36" s="1"/>
  <c r="M39" i="36" s="1"/>
  <c r="K41" i="36"/>
  <c r="L41" i="36" s="1"/>
  <c r="M41" i="36" s="1"/>
  <c r="C34" i="36"/>
  <c r="K37" i="36"/>
  <c r="L37" i="36" s="1"/>
  <c r="M37" i="36" s="1"/>
  <c r="C36" i="36"/>
  <c r="K38" i="36"/>
  <c r="L38" i="36" s="1"/>
  <c r="M38" i="36" s="1"/>
  <c r="C35" i="36"/>
  <c r="E5" i="36"/>
  <c r="E6" i="36" s="1"/>
  <c r="E7" i="36" s="1"/>
  <c r="E8" i="36" s="1"/>
  <c r="D14" i="36"/>
  <c r="C18" i="36"/>
  <c r="J33" i="36"/>
  <c r="E14" i="36"/>
  <c r="D18" i="36"/>
  <c r="D11" i="36"/>
  <c r="C15" i="36"/>
  <c r="E18" i="36"/>
  <c r="D15" i="36"/>
  <c r="K44" i="35"/>
  <c r="K45" i="35"/>
  <c r="K56" i="35"/>
  <c r="D17" i="35"/>
  <c r="C5" i="35"/>
  <c r="C6" i="35" s="1"/>
  <c r="C7" i="35" s="1"/>
  <c r="C8" i="35" s="1"/>
  <c r="C21" i="35" s="1"/>
  <c r="C15" i="35"/>
  <c r="C13" i="35"/>
  <c r="C34" i="35"/>
  <c r="K41" i="35"/>
  <c r="L41" i="35" s="1"/>
  <c r="M41" i="35" s="1"/>
  <c r="K38" i="35"/>
  <c r="L38" i="35" s="1"/>
  <c r="M38" i="35" s="1"/>
  <c r="C35" i="35"/>
  <c r="C33" i="35"/>
  <c r="K37" i="35"/>
  <c r="L37" i="35" s="1"/>
  <c r="M37" i="35" s="1"/>
  <c r="C36" i="35"/>
  <c r="E5" i="35"/>
  <c r="E6" i="35" s="1"/>
  <c r="E7" i="35" s="1"/>
  <c r="E8" i="35" s="1"/>
  <c r="D14" i="35"/>
  <c r="C18" i="35"/>
  <c r="K39" i="35"/>
  <c r="L39" i="35" s="1"/>
  <c r="M39" i="35" s="1"/>
  <c r="J33" i="35"/>
  <c r="C11" i="35"/>
  <c r="E14" i="35"/>
  <c r="D18" i="35"/>
  <c r="E18" i="35"/>
  <c r="D11" i="35"/>
  <c r="E11" i="35"/>
  <c r="D15" i="35"/>
  <c r="E15" i="35"/>
  <c r="D13" i="35"/>
  <c r="C17" i="35"/>
  <c r="D11" i="34"/>
  <c r="I49" i="34"/>
  <c r="J49" i="34" s="1"/>
  <c r="I48" i="34"/>
  <c r="J48" i="34" s="1"/>
  <c r="I47" i="34"/>
  <c r="J47" i="34" s="1"/>
  <c r="I46" i="34"/>
  <c r="J46" i="34" s="1"/>
  <c r="I45" i="34"/>
  <c r="J45" i="34" s="1"/>
  <c r="I44" i="34"/>
  <c r="J44" i="34" s="1"/>
  <c r="I42" i="34"/>
  <c r="J42" i="34" s="1"/>
  <c r="I41" i="34"/>
  <c r="J41" i="34" s="1"/>
  <c r="I40" i="34"/>
  <c r="J40" i="34" s="1"/>
  <c r="I39" i="34"/>
  <c r="J39" i="34" s="1"/>
  <c r="I38" i="34"/>
  <c r="J38" i="34" s="1"/>
  <c r="I37" i="34"/>
  <c r="J37" i="34" s="1"/>
  <c r="N33" i="34"/>
  <c r="L33" i="34"/>
  <c r="B35" i="34" s="1"/>
  <c r="M31" i="34"/>
  <c r="M33" i="34" s="1"/>
  <c r="B36" i="34" s="1"/>
  <c r="K31" i="34"/>
  <c r="K33" i="34" s="1"/>
  <c r="B34" i="34" s="1"/>
  <c r="J31" i="34"/>
  <c r="J33" i="34" s="1"/>
  <c r="B33" i="34" s="1"/>
  <c r="I56" i="34"/>
  <c r="J56" i="34" s="1"/>
  <c r="I55" i="34"/>
  <c r="J55" i="34" s="1"/>
  <c r="I54" i="34"/>
  <c r="J54" i="34" s="1"/>
  <c r="I53" i="34"/>
  <c r="J53" i="34" s="1"/>
  <c r="I52" i="34"/>
  <c r="J52" i="34" s="1"/>
  <c r="I51" i="34"/>
  <c r="J51" i="34" s="1"/>
  <c r="F1" i="62"/>
  <c r="I1" i="62" s="1"/>
  <c r="L1" i="62" s="1"/>
  <c r="O1" i="62" s="1"/>
  <c r="R1" i="62" s="1"/>
  <c r="U1" i="62" s="1"/>
  <c r="X1" i="62" s="1"/>
  <c r="AA1" i="62" s="1"/>
  <c r="AD1" i="62" s="1"/>
  <c r="AG1" i="62" s="1"/>
  <c r="AJ1" i="62" s="1"/>
  <c r="AM1" i="62" s="1"/>
  <c r="AP1" i="62" s="1"/>
  <c r="AS1" i="62" s="1"/>
  <c r="AV1" i="62" s="1"/>
  <c r="AY1" i="62" s="1"/>
  <c r="BB1" i="62" s="1"/>
  <c r="BE1" i="62" s="1"/>
  <c r="BH1" i="62" s="1"/>
  <c r="BK1" i="62" s="1"/>
  <c r="BN1" i="62" s="1"/>
  <c r="BQ1" i="62" s="1"/>
  <c r="BT1" i="62" s="1"/>
  <c r="BW1" i="62" s="1"/>
  <c r="BZ1" i="62" s="1"/>
  <c r="CC1" i="62" s="1"/>
  <c r="CF1" i="62" s="1"/>
  <c r="CI1" i="62" s="1"/>
  <c r="CL1" i="62" s="1"/>
  <c r="CO1" i="62" s="1"/>
  <c r="E17" i="34"/>
  <c r="D5" i="34"/>
  <c r="C5" i="34"/>
  <c r="C18" i="34"/>
  <c r="D17" i="34"/>
  <c r="C17" i="34"/>
  <c r="C11" i="34"/>
  <c r="D15" i="34"/>
  <c r="C15" i="34"/>
  <c r="C14" i="34"/>
  <c r="D13" i="34"/>
  <c r="C13" i="34"/>
  <c r="D47" i="34"/>
  <c r="K41" i="49" l="1"/>
  <c r="L41" i="49" s="1"/>
  <c r="M41" i="49" s="1"/>
  <c r="K47" i="44"/>
  <c r="L47" i="44" s="1"/>
  <c r="M47" i="44" s="1"/>
  <c r="K49" i="44"/>
  <c r="L49" i="44" s="1"/>
  <c r="M49" i="44" s="1"/>
  <c r="K49" i="52"/>
  <c r="L49" i="52" s="1"/>
  <c r="M49" i="52" s="1"/>
  <c r="K56" i="31"/>
  <c r="L56" i="31" s="1"/>
  <c r="M56" i="31" s="1"/>
  <c r="K38" i="44"/>
  <c r="L38" i="44" s="1"/>
  <c r="M38" i="44" s="1"/>
  <c r="K44" i="44"/>
  <c r="L44" i="44" s="1"/>
  <c r="M44" i="44" s="1"/>
  <c r="K52" i="44"/>
  <c r="L52" i="44" s="1"/>
  <c r="M52" i="44" s="1"/>
  <c r="K47" i="31"/>
  <c r="L47" i="31" s="1"/>
  <c r="M47" i="31" s="1"/>
  <c r="D35" i="31" s="1"/>
  <c r="E6" i="55"/>
  <c r="E7" i="55" s="1"/>
  <c r="E8" i="55" s="1"/>
  <c r="K46" i="55"/>
  <c r="L46" i="55" s="1"/>
  <c r="M46" i="55" s="1"/>
  <c r="K37" i="49"/>
  <c r="L37" i="49" s="1"/>
  <c r="M37" i="49" s="1"/>
  <c r="K53" i="55"/>
  <c r="L53" i="55" s="1"/>
  <c r="M53" i="55" s="1"/>
  <c r="K49" i="49"/>
  <c r="L49" i="49" s="1"/>
  <c r="M49" i="49" s="1"/>
  <c r="D6" i="48"/>
  <c r="D7" i="48" s="1"/>
  <c r="D8" i="48" s="1"/>
  <c r="D9" i="48" s="1"/>
  <c r="K46" i="49"/>
  <c r="L46" i="49" s="1"/>
  <c r="M46" i="49" s="1"/>
  <c r="K48" i="55"/>
  <c r="L48" i="55" s="1"/>
  <c r="M48" i="55" s="1"/>
  <c r="K38" i="55"/>
  <c r="L38" i="55" s="1"/>
  <c r="M38" i="55" s="1"/>
  <c r="K47" i="55"/>
  <c r="L47" i="55" s="1"/>
  <c r="M47" i="55" s="1"/>
  <c r="K45" i="49"/>
  <c r="L45" i="49" s="1"/>
  <c r="M45" i="49" s="1"/>
  <c r="K44" i="55"/>
  <c r="L44" i="55" s="1"/>
  <c r="M44" i="55" s="1"/>
  <c r="K54" i="48"/>
  <c r="L54" i="48" s="1"/>
  <c r="M54" i="48" s="1"/>
  <c r="K39" i="49"/>
  <c r="L39" i="49" s="1"/>
  <c r="M39" i="49" s="1"/>
  <c r="K55" i="48"/>
  <c r="L55" i="48" s="1"/>
  <c r="M55" i="48" s="1"/>
  <c r="C6" i="49"/>
  <c r="C7" i="49" s="1"/>
  <c r="C8" i="49" s="1"/>
  <c r="C9" i="49" s="1"/>
  <c r="K42" i="55"/>
  <c r="L42" i="55" s="1"/>
  <c r="M42" i="55" s="1"/>
  <c r="K44" i="49"/>
  <c r="L44" i="49" s="1"/>
  <c r="M44" i="49" s="1"/>
  <c r="K52" i="55"/>
  <c r="L52" i="55" s="1"/>
  <c r="M52" i="55" s="1"/>
  <c r="K37" i="48"/>
  <c r="L37" i="48" s="1"/>
  <c r="M37" i="48" s="1"/>
  <c r="K53" i="48"/>
  <c r="L53" i="48" s="1"/>
  <c r="M53" i="48" s="1"/>
  <c r="D33" i="48" s="1"/>
  <c r="I6" i="48" s="1"/>
  <c r="K6" i="48" s="1"/>
  <c r="K46" i="48"/>
  <c r="L46" i="48" s="1"/>
  <c r="M46" i="48" s="1"/>
  <c r="K42" i="49"/>
  <c r="L42" i="49" s="1"/>
  <c r="M42" i="49" s="1"/>
  <c r="C6" i="48"/>
  <c r="C7" i="48" s="1"/>
  <c r="C8" i="48" s="1"/>
  <c r="C9" i="48" s="1"/>
  <c r="K39" i="55"/>
  <c r="L39" i="55" s="1"/>
  <c r="M39" i="55" s="1"/>
  <c r="K56" i="48"/>
  <c r="L56" i="48" s="1"/>
  <c r="M56" i="48" s="1"/>
  <c r="K44" i="48"/>
  <c r="L44" i="48" s="1"/>
  <c r="M44" i="48" s="1"/>
  <c r="K51" i="55"/>
  <c r="L51" i="55" s="1"/>
  <c r="M51" i="55" s="1"/>
  <c r="K49" i="55"/>
  <c r="L49" i="55" s="1"/>
  <c r="M49" i="55" s="1"/>
  <c r="K56" i="49"/>
  <c r="L56" i="49" s="1"/>
  <c r="M56" i="49" s="1"/>
  <c r="E6" i="49"/>
  <c r="E7" i="49" s="1"/>
  <c r="E8" i="49" s="1"/>
  <c r="E21" i="49" s="1"/>
  <c r="K53" i="49"/>
  <c r="L53" i="49" s="1"/>
  <c r="M53" i="49" s="1"/>
  <c r="K40" i="48"/>
  <c r="L40" i="48" s="1"/>
  <c r="M40" i="48" s="1"/>
  <c r="K41" i="55"/>
  <c r="L41" i="55" s="1"/>
  <c r="M41" i="55" s="1"/>
  <c r="K40" i="55"/>
  <c r="L40" i="55" s="1"/>
  <c r="M40" i="55" s="1"/>
  <c r="K47" i="49"/>
  <c r="L47" i="49" s="1"/>
  <c r="M47" i="49" s="1"/>
  <c r="E6" i="48"/>
  <c r="E7" i="48" s="1"/>
  <c r="E8" i="48" s="1"/>
  <c r="E21" i="48" s="1"/>
  <c r="K55" i="49"/>
  <c r="L55" i="49" s="1"/>
  <c r="M55" i="49" s="1"/>
  <c r="K40" i="49"/>
  <c r="L40" i="49" s="1"/>
  <c r="M40" i="49" s="1"/>
  <c r="K37" i="55"/>
  <c r="L37" i="55" s="1"/>
  <c r="M37" i="55" s="1"/>
  <c r="K51" i="48"/>
  <c r="L51" i="48" s="1"/>
  <c r="M51" i="48" s="1"/>
  <c r="K49" i="48"/>
  <c r="L49" i="48" s="1"/>
  <c r="M49" i="48" s="1"/>
  <c r="K42" i="48"/>
  <c r="L42" i="48" s="1"/>
  <c r="M42" i="48" s="1"/>
  <c r="D6" i="49"/>
  <c r="D7" i="49" s="1"/>
  <c r="D8" i="49" s="1"/>
  <c r="D9" i="49" s="1"/>
  <c r="D10" i="49" s="1"/>
  <c r="K41" i="48"/>
  <c r="L41" i="48" s="1"/>
  <c r="M41" i="48" s="1"/>
  <c r="D34" i="48" s="1"/>
  <c r="K38" i="48"/>
  <c r="L38" i="48" s="1"/>
  <c r="M38" i="48" s="1"/>
  <c r="K38" i="49"/>
  <c r="L38" i="49" s="1"/>
  <c r="M38" i="49" s="1"/>
  <c r="D35" i="49" s="1"/>
  <c r="C6" i="55"/>
  <c r="C7" i="55" s="1"/>
  <c r="C8" i="55" s="1"/>
  <c r="C21" i="55" s="1"/>
  <c r="K48" i="48"/>
  <c r="L48" i="48" s="1"/>
  <c r="M48" i="48" s="1"/>
  <c r="K54" i="55"/>
  <c r="L54" i="55" s="1"/>
  <c r="M54" i="55" s="1"/>
  <c r="K52" i="49"/>
  <c r="L52" i="49" s="1"/>
  <c r="M52" i="49" s="1"/>
  <c r="K52" i="48"/>
  <c r="L52" i="48" s="1"/>
  <c r="M52" i="48" s="1"/>
  <c r="K47" i="48"/>
  <c r="L47" i="48" s="1"/>
  <c r="M47" i="48" s="1"/>
  <c r="D35" i="48" s="1"/>
  <c r="K48" i="49"/>
  <c r="L48" i="49" s="1"/>
  <c r="M48" i="49" s="1"/>
  <c r="D6" i="55"/>
  <c r="D7" i="55" s="1"/>
  <c r="D8" i="55" s="1"/>
  <c r="D9" i="55" s="1"/>
  <c r="D10" i="55" s="1"/>
  <c r="K55" i="55"/>
  <c r="L55" i="55" s="1"/>
  <c r="M55" i="55" s="1"/>
  <c r="K54" i="49"/>
  <c r="L54" i="49" s="1"/>
  <c r="M54" i="49" s="1"/>
  <c r="K45" i="47"/>
  <c r="L45" i="47" s="1"/>
  <c r="M45" i="47" s="1"/>
  <c r="D35" i="47" s="1"/>
  <c r="K53" i="47"/>
  <c r="L53" i="47" s="1"/>
  <c r="M53" i="47" s="1"/>
  <c r="D33" i="47" s="1"/>
  <c r="I6" i="47" s="1"/>
  <c r="K6" i="47" s="1"/>
  <c r="D21" i="49"/>
  <c r="D33" i="36"/>
  <c r="I6" i="36" s="1"/>
  <c r="K6" i="36" s="1"/>
  <c r="D9" i="35"/>
  <c r="D34" i="47"/>
  <c r="E34" i="47" s="1"/>
  <c r="D21" i="31"/>
  <c r="D34" i="35"/>
  <c r="D21" i="52"/>
  <c r="D33" i="46"/>
  <c r="I6" i="46" s="1"/>
  <c r="K6" i="46" s="1"/>
  <c r="C21" i="31"/>
  <c r="D33" i="33"/>
  <c r="I6" i="33" s="1"/>
  <c r="K6" i="33" s="1"/>
  <c r="D34" i="46"/>
  <c r="D9" i="50"/>
  <c r="D24" i="50" s="1"/>
  <c r="D36" i="46"/>
  <c r="D34" i="59"/>
  <c r="E9" i="47"/>
  <c r="E20" i="47" s="1"/>
  <c r="D34" i="33"/>
  <c r="D33" i="40"/>
  <c r="D34" i="43"/>
  <c r="D33" i="51"/>
  <c r="I6" i="51" s="1"/>
  <c r="K6" i="51" s="1"/>
  <c r="D36" i="37"/>
  <c r="D34" i="40"/>
  <c r="D33" i="57"/>
  <c r="I6" i="57" s="1"/>
  <c r="K6" i="57" s="1"/>
  <c r="D34" i="37"/>
  <c r="D34" i="42"/>
  <c r="D34" i="15"/>
  <c r="D36" i="41"/>
  <c r="D36" i="44"/>
  <c r="D21" i="53"/>
  <c r="D9" i="53"/>
  <c r="D22" i="53" s="1"/>
  <c r="D33" i="35"/>
  <c r="D34" i="54"/>
  <c r="D33" i="54"/>
  <c r="I6" i="54" s="1"/>
  <c r="K6" i="54" s="1"/>
  <c r="D9" i="54"/>
  <c r="D19" i="54" s="1"/>
  <c r="D34" i="31"/>
  <c r="D35" i="45"/>
  <c r="D35" i="52"/>
  <c r="D21" i="51"/>
  <c r="D34" i="36"/>
  <c r="D35" i="41"/>
  <c r="D35" i="46"/>
  <c r="D34" i="53"/>
  <c r="D35" i="59"/>
  <c r="D36" i="52"/>
  <c r="D36" i="54"/>
  <c r="D36" i="31"/>
  <c r="D34" i="41"/>
  <c r="D34" i="45"/>
  <c r="D36" i="39"/>
  <c r="D36" i="48"/>
  <c r="K51" i="34"/>
  <c r="D33" i="50"/>
  <c r="D33" i="52"/>
  <c r="I6" i="52" s="1"/>
  <c r="K6" i="52" s="1"/>
  <c r="D34" i="55"/>
  <c r="D36" i="56"/>
  <c r="D35" i="37"/>
  <c r="E9" i="33"/>
  <c r="E10" i="33" s="1"/>
  <c r="D35" i="36"/>
  <c r="D33" i="37"/>
  <c r="D36" i="33"/>
  <c r="K55" i="34"/>
  <c r="K47" i="34"/>
  <c r="L47" i="34" s="1"/>
  <c r="M47" i="34" s="1"/>
  <c r="D36" i="36"/>
  <c r="D35" i="42"/>
  <c r="D36" i="15"/>
  <c r="D33" i="45"/>
  <c r="K48" i="34"/>
  <c r="L48" i="34" s="1"/>
  <c r="M48" i="34" s="1"/>
  <c r="D36" i="40"/>
  <c r="D35" i="40"/>
  <c r="D21" i="46"/>
  <c r="D35" i="32"/>
  <c r="D35" i="33"/>
  <c r="D35" i="54"/>
  <c r="D34" i="57"/>
  <c r="D33" i="38"/>
  <c r="D33" i="41"/>
  <c r="D36" i="42"/>
  <c r="D33" i="31"/>
  <c r="D36" i="47"/>
  <c r="D33" i="58"/>
  <c r="I6" i="58" s="1"/>
  <c r="K6" i="58" s="1"/>
  <c r="D36" i="59"/>
  <c r="D33" i="59"/>
  <c r="D35" i="57"/>
  <c r="D36" i="57"/>
  <c r="D35" i="56"/>
  <c r="D34" i="56"/>
  <c r="D33" i="55"/>
  <c r="D33" i="53"/>
  <c r="D35" i="53"/>
  <c r="D36" i="53"/>
  <c r="D34" i="52"/>
  <c r="D36" i="51"/>
  <c r="D34" i="51"/>
  <c r="D35" i="51"/>
  <c r="D36" i="50"/>
  <c r="D35" i="50"/>
  <c r="D34" i="50"/>
  <c r="D33" i="49"/>
  <c r="D34" i="49"/>
  <c r="D36" i="49"/>
  <c r="D34" i="32"/>
  <c r="D33" i="32"/>
  <c r="C9" i="32"/>
  <c r="C10" i="32" s="1"/>
  <c r="D36" i="32"/>
  <c r="C9" i="46"/>
  <c r="C10" i="46" s="1"/>
  <c r="D34" i="44"/>
  <c r="D35" i="44"/>
  <c r="D33" i="44"/>
  <c r="D36" i="43"/>
  <c r="D35" i="43"/>
  <c r="D33" i="43"/>
  <c r="E9" i="31"/>
  <c r="E10" i="31" s="1"/>
  <c r="E21" i="16"/>
  <c r="D34" i="39"/>
  <c r="D33" i="39"/>
  <c r="D35" i="39"/>
  <c r="D35" i="38"/>
  <c r="D36" i="38"/>
  <c r="L56" i="35"/>
  <c r="M56" i="35" s="1"/>
  <c r="L45" i="35"/>
  <c r="M45" i="35" s="1"/>
  <c r="D35" i="35" s="1"/>
  <c r="L44" i="35"/>
  <c r="M44" i="35" s="1"/>
  <c r="C37" i="51"/>
  <c r="B42" i="51" s="1"/>
  <c r="D34" i="16"/>
  <c r="E21" i="32"/>
  <c r="D9" i="41"/>
  <c r="D24" i="41" s="1"/>
  <c r="D9" i="32"/>
  <c r="D19" i="32" s="1"/>
  <c r="E9" i="59"/>
  <c r="E22" i="59" s="1"/>
  <c r="D21" i="59"/>
  <c r="D22" i="59"/>
  <c r="D19" i="59"/>
  <c r="D24" i="59"/>
  <c r="D10" i="59"/>
  <c r="D23" i="59"/>
  <c r="D20" i="59"/>
  <c r="C9" i="59"/>
  <c r="C21" i="59"/>
  <c r="O33" i="59"/>
  <c r="C37" i="59"/>
  <c r="B42" i="59" s="1"/>
  <c r="D36" i="58"/>
  <c r="D35" i="58"/>
  <c r="C37" i="58"/>
  <c r="B42" i="58" s="1"/>
  <c r="D9" i="58"/>
  <c r="D21" i="58"/>
  <c r="E21" i="58"/>
  <c r="E9" i="58"/>
  <c r="C9" i="58"/>
  <c r="C21" i="58"/>
  <c r="D34" i="58"/>
  <c r="O33" i="58"/>
  <c r="B33" i="58"/>
  <c r="C37" i="57"/>
  <c r="B42" i="57" s="1"/>
  <c r="E9" i="57"/>
  <c r="E21" i="57"/>
  <c r="C9" i="57"/>
  <c r="C21" i="57"/>
  <c r="D9" i="57"/>
  <c r="D21" i="57"/>
  <c r="E33" i="57"/>
  <c r="D33" i="56"/>
  <c r="E9" i="56"/>
  <c r="E21" i="56"/>
  <c r="C37" i="56"/>
  <c r="B42" i="56" s="1"/>
  <c r="D9" i="56"/>
  <c r="D21" i="56"/>
  <c r="C9" i="56"/>
  <c r="C21" i="56"/>
  <c r="C37" i="55"/>
  <c r="B42" i="55" s="1"/>
  <c r="C9" i="55"/>
  <c r="E9" i="55"/>
  <c r="E21" i="55"/>
  <c r="C37" i="54"/>
  <c r="B42" i="54" s="1"/>
  <c r="E21" i="54"/>
  <c r="E9" i="54"/>
  <c r="C9" i="54"/>
  <c r="C21" i="54"/>
  <c r="O33" i="54"/>
  <c r="B33" i="54"/>
  <c r="E33" i="54" s="1"/>
  <c r="D22" i="54"/>
  <c r="C37" i="53"/>
  <c r="B42" i="53" s="1"/>
  <c r="C9" i="53"/>
  <c r="C21" i="53"/>
  <c r="O33" i="53"/>
  <c r="B33" i="53"/>
  <c r="E21" i="53"/>
  <c r="E9" i="53"/>
  <c r="C37" i="52"/>
  <c r="B42" i="52" s="1"/>
  <c r="E21" i="52"/>
  <c r="E9" i="52"/>
  <c r="C9" i="52"/>
  <c r="C21" i="52"/>
  <c r="D22" i="52"/>
  <c r="D19" i="52"/>
  <c r="D24" i="52"/>
  <c r="D10" i="52"/>
  <c r="D23" i="52"/>
  <c r="D20" i="52"/>
  <c r="O33" i="52"/>
  <c r="B33" i="52"/>
  <c r="C21" i="51"/>
  <c r="C9" i="51"/>
  <c r="O33" i="51"/>
  <c r="B33" i="51"/>
  <c r="D10" i="51"/>
  <c r="D22" i="51"/>
  <c r="D19" i="51"/>
  <c r="D24" i="51"/>
  <c r="D23" i="51"/>
  <c r="D20" i="51"/>
  <c r="E21" i="51"/>
  <c r="E9" i="51"/>
  <c r="C37" i="50"/>
  <c r="B42" i="50" s="1"/>
  <c r="C9" i="50"/>
  <c r="C21" i="50"/>
  <c r="O33" i="50"/>
  <c r="B33" i="50"/>
  <c r="E21" i="50"/>
  <c r="E9" i="50"/>
  <c r="C21" i="49"/>
  <c r="E9" i="49"/>
  <c r="D22" i="49"/>
  <c r="D19" i="49"/>
  <c r="D23" i="49"/>
  <c r="D20" i="49"/>
  <c r="D24" i="49"/>
  <c r="C37" i="49"/>
  <c r="B42" i="49" s="1"/>
  <c r="C37" i="48"/>
  <c r="B42" i="48" s="1"/>
  <c r="D21" i="48"/>
  <c r="O33" i="48"/>
  <c r="B33" i="48"/>
  <c r="D22" i="48"/>
  <c r="D19" i="48"/>
  <c r="D24" i="48"/>
  <c r="D23" i="48"/>
  <c r="D20" i="48"/>
  <c r="D10" i="48"/>
  <c r="C37" i="33"/>
  <c r="B42" i="33" s="1"/>
  <c r="C9" i="33"/>
  <c r="C21" i="33"/>
  <c r="D9" i="33"/>
  <c r="D21" i="33"/>
  <c r="O33" i="33"/>
  <c r="B33" i="33"/>
  <c r="C37" i="32"/>
  <c r="B42" i="32" s="1"/>
  <c r="E22" i="32"/>
  <c r="E19" i="32"/>
  <c r="E23" i="32"/>
  <c r="E20" i="32"/>
  <c r="E24" i="32"/>
  <c r="C37" i="47"/>
  <c r="B42" i="47" s="1"/>
  <c r="D21" i="47"/>
  <c r="D9" i="47"/>
  <c r="C9" i="47"/>
  <c r="C21" i="47"/>
  <c r="E21" i="46"/>
  <c r="E9" i="46"/>
  <c r="D22" i="46"/>
  <c r="D20" i="46"/>
  <c r="D19" i="46"/>
  <c r="D24" i="46"/>
  <c r="D10" i="46"/>
  <c r="D23" i="46"/>
  <c r="C37" i="46"/>
  <c r="B42" i="46" s="1"/>
  <c r="O33" i="46"/>
  <c r="B33" i="46"/>
  <c r="E9" i="45"/>
  <c r="E21" i="45"/>
  <c r="D36" i="45"/>
  <c r="C20" i="45"/>
  <c r="C22" i="45"/>
  <c r="C19" i="45"/>
  <c r="C10" i="45"/>
  <c r="D20" i="45"/>
  <c r="D22" i="45"/>
  <c r="D19" i="45"/>
  <c r="D23" i="45"/>
  <c r="D24" i="45"/>
  <c r="D10" i="45"/>
  <c r="C37" i="45"/>
  <c r="B42" i="45" s="1"/>
  <c r="E21" i="44"/>
  <c r="E9" i="44"/>
  <c r="C9" i="44"/>
  <c r="C21" i="44"/>
  <c r="D9" i="44"/>
  <c r="D21" i="44"/>
  <c r="C37" i="44"/>
  <c r="B42" i="44" s="1"/>
  <c r="C37" i="43"/>
  <c r="B42" i="43" s="1"/>
  <c r="D9" i="43"/>
  <c r="D21" i="43"/>
  <c r="E21" i="43"/>
  <c r="E9" i="43"/>
  <c r="C9" i="43"/>
  <c r="C21" i="43"/>
  <c r="O33" i="43"/>
  <c r="B33" i="43"/>
  <c r="C37" i="31"/>
  <c r="B42" i="31" s="1"/>
  <c r="O33" i="31"/>
  <c r="B33" i="31"/>
  <c r="D22" i="31"/>
  <c r="D24" i="31"/>
  <c r="D10" i="31"/>
  <c r="D19" i="31"/>
  <c r="D23" i="31"/>
  <c r="D20" i="31"/>
  <c r="C20" i="31"/>
  <c r="C10" i="31"/>
  <c r="C22" i="31"/>
  <c r="C19" i="31"/>
  <c r="C21" i="16"/>
  <c r="C20" i="16"/>
  <c r="C22" i="16"/>
  <c r="C19" i="16"/>
  <c r="C10" i="16"/>
  <c r="D36" i="16"/>
  <c r="D35" i="16"/>
  <c r="D33" i="16"/>
  <c r="I6" i="16" s="1"/>
  <c r="K6" i="16" s="1"/>
  <c r="D9" i="16"/>
  <c r="D21" i="16"/>
  <c r="C37" i="16"/>
  <c r="B42" i="16" s="1"/>
  <c r="E22" i="16"/>
  <c r="E23" i="16"/>
  <c r="E19" i="16"/>
  <c r="E24" i="16"/>
  <c r="E10" i="16"/>
  <c r="E20" i="16"/>
  <c r="D33" i="15"/>
  <c r="D9" i="15"/>
  <c r="D21" i="15"/>
  <c r="C37" i="15"/>
  <c r="B42" i="15" s="1"/>
  <c r="E21" i="15"/>
  <c r="E9" i="15"/>
  <c r="C9" i="15"/>
  <c r="C21" i="15"/>
  <c r="D35" i="15"/>
  <c r="C37" i="42"/>
  <c r="B42" i="42" s="1"/>
  <c r="C9" i="42"/>
  <c r="C21" i="42"/>
  <c r="D22" i="42"/>
  <c r="D19" i="42"/>
  <c r="D10" i="42"/>
  <c r="D23" i="42"/>
  <c r="D20" i="42"/>
  <c r="D24" i="42"/>
  <c r="O33" i="42"/>
  <c r="B33" i="42"/>
  <c r="E33" i="42" s="1"/>
  <c r="E22" i="42"/>
  <c r="E19" i="42"/>
  <c r="E24" i="42"/>
  <c r="E23" i="42"/>
  <c r="E20" i="42"/>
  <c r="C37" i="41"/>
  <c r="B42" i="41" s="1"/>
  <c r="C9" i="41"/>
  <c r="C21" i="41"/>
  <c r="O33" i="41"/>
  <c r="B33" i="41"/>
  <c r="E21" i="41"/>
  <c r="E9" i="41"/>
  <c r="C37" i="40"/>
  <c r="B42" i="40" s="1"/>
  <c r="C9" i="40"/>
  <c r="C21" i="40"/>
  <c r="D9" i="40"/>
  <c r="D21" i="40"/>
  <c r="E9" i="40"/>
  <c r="E21" i="40"/>
  <c r="C9" i="39"/>
  <c r="C21" i="39"/>
  <c r="O33" i="39"/>
  <c r="B33" i="39"/>
  <c r="D9" i="39"/>
  <c r="D21" i="39"/>
  <c r="C37" i="39"/>
  <c r="B42" i="39" s="1"/>
  <c r="E21" i="39"/>
  <c r="E9" i="39"/>
  <c r="D34" i="38"/>
  <c r="D9" i="38"/>
  <c r="D21" i="38"/>
  <c r="C9" i="38"/>
  <c r="C21" i="38"/>
  <c r="E21" i="38"/>
  <c r="E9" i="38"/>
  <c r="C37" i="38"/>
  <c r="B42" i="38" s="1"/>
  <c r="E21" i="37"/>
  <c r="E9" i="37"/>
  <c r="C21" i="37"/>
  <c r="C9" i="37"/>
  <c r="D21" i="37"/>
  <c r="D9" i="37"/>
  <c r="C37" i="37"/>
  <c r="B42" i="37" s="1"/>
  <c r="D9" i="36"/>
  <c r="D23" i="36" s="1"/>
  <c r="C21" i="36"/>
  <c r="O33" i="36"/>
  <c r="B33" i="36"/>
  <c r="C19" i="36"/>
  <c r="C20" i="36"/>
  <c r="C10" i="36"/>
  <c r="C22" i="36"/>
  <c r="C37" i="36"/>
  <c r="B42" i="36" s="1"/>
  <c r="E9" i="36"/>
  <c r="E21" i="36"/>
  <c r="C9" i="35"/>
  <c r="C22" i="35" s="1"/>
  <c r="O33" i="35"/>
  <c r="B33" i="35"/>
  <c r="C37" i="35"/>
  <c r="B42" i="35" s="1"/>
  <c r="D23" i="35"/>
  <c r="D22" i="35"/>
  <c r="D19" i="35"/>
  <c r="D24" i="35"/>
  <c r="D20" i="35"/>
  <c r="D10" i="35"/>
  <c r="E9" i="35"/>
  <c r="E21" i="35"/>
  <c r="K53" i="34"/>
  <c r="K45" i="34"/>
  <c r="L45" i="34" s="1"/>
  <c r="K37" i="34"/>
  <c r="L37" i="34" s="1"/>
  <c r="M37" i="34" s="1"/>
  <c r="K46" i="34"/>
  <c r="L46" i="34" s="1"/>
  <c r="M46" i="34" s="1"/>
  <c r="K39" i="34"/>
  <c r="L39" i="34" s="1"/>
  <c r="M39" i="34" s="1"/>
  <c r="K54" i="34"/>
  <c r="K56" i="34"/>
  <c r="L56" i="34" s="1"/>
  <c r="K40" i="34"/>
  <c r="L40" i="34" s="1"/>
  <c r="M40" i="34" s="1"/>
  <c r="K49" i="34"/>
  <c r="L49" i="34" s="1"/>
  <c r="M49" i="34" s="1"/>
  <c r="K42" i="34"/>
  <c r="L42" i="34" s="1"/>
  <c r="M42" i="34" s="1"/>
  <c r="K52" i="34"/>
  <c r="K44" i="34"/>
  <c r="L44" i="34" s="1"/>
  <c r="C35" i="34"/>
  <c r="K38" i="34"/>
  <c r="L38" i="34" s="1"/>
  <c r="M38" i="34" s="1"/>
  <c r="C34" i="34"/>
  <c r="K41" i="34"/>
  <c r="L41" i="34" s="1"/>
  <c r="M41" i="34" s="1"/>
  <c r="C36" i="34"/>
  <c r="C33" i="34"/>
  <c r="D14" i="34"/>
  <c r="D18" i="34"/>
  <c r="O33" i="34"/>
  <c r="O31" i="34"/>
  <c r="D6" i="34"/>
  <c r="D7" i="34" s="1"/>
  <c r="D8" i="34" s="1"/>
  <c r="D9" i="34" s="1"/>
  <c r="E15" i="34"/>
  <c r="E18" i="34"/>
  <c r="E13" i="34"/>
  <c r="E5" i="34"/>
  <c r="E6" i="34" s="1"/>
  <c r="E7" i="34" s="1"/>
  <c r="E8" i="34" s="1"/>
  <c r="E9" i="34" s="1"/>
  <c r="E11" i="34"/>
  <c r="E14" i="34"/>
  <c r="C6" i="34"/>
  <c r="C7" i="34" s="1"/>
  <c r="C8" i="34" s="1"/>
  <c r="C9" i="34" s="1"/>
  <c r="D24" i="55" l="1"/>
  <c r="C21" i="48"/>
  <c r="D19" i="55"/>
  <c r="D36" i="55"/>
  <c r="D22" i="55"/>
  <c r="D35" i="55"/>
  <c r="E35" i="55" s="1"/>
  <c r="D20" i="55"/>
  <c r="D23" i="55"/>
  <c r="D21" i="55"/>
  <c r="E33" i="36"/>
  <c r="E9" i="48"/>
  <c r="E10" i="48" s="1"/>
  <c r="I7" i="47"/>
  <c r="K7" i="47" s="1"/>
  <c r="E33" i="47"/>
  <c r="E36" i="53"/>
  <c r="I9" i="53"/>
  <c r="K9" i="53" s="1"/>
  <c r="E35" i="57"/>
  <c r="I8" i="57"/>
  <c r="K8" i="57" s="1"/>
  <c r="E33" i="38"/>
  <c r="I6" i="38"/>
  <c r="K6" i="38" s="1"/>
  <c r="E36" i="33"/>
  <c r="I9" i="33"/>
  <c r="K9" i="33" s="1"/>
  <c r="E34" i="41"/>
  <c r="I7" i="41"/>
  <c r="K7" i="41" s="1"/>
  <c r="E34" i="54"/>
  <c r="I7" i="54"/>
  <c r="K7" i="54" s="1"/>
  <c r="E34" i="37"/>
  <c r="I7" i="37"/>
  <c r="K7" i="37" s="1"/>
  <c r="E23" i="31"/>
  <c r="E33" i="46"/>
  <c r="E36" i="38"/>
  <c r="I9" i="38"/>
  <c r="K9" i="38" s="1"/>
  <c r="E35" i="43"/>
  <c r="I8" i="43"/>
  <c r="K8" i="43" s="1"/>
  <c r="E33" i="32"/>
  <c r="I6" i="32"/>
  <c r="K6" i="32" s="1"/>
  <c r="E34" i="50"/>
  <c r="I7" i="50"/>
  <c r="K7" i="50" s="1"/>
  <c r="E35" i="53"/>
  <c r="I8" i="53"/>
  <c r="K8" i="53" s="1"/>
  <c r="E33" i="59"/>
  <c r="I6" i="59"/>
  <c r="K6" i="59" s="1"/>
  <c r="E34" i="57"/>
  <c r="I7" i="57"/>
  <c r="K7" i="57" s="1"/>
  <c r="E35" i="47"/>
  <c r="I8" i="47"/>
  <c r="K8" i="47" s="1"/>
  <c r="E35" i="31"/>
  <c r="I8" i="31"/>
  <c r="K8" i="31" s="1"/>
  <c r="E36" i="31"/>
  <c r="I9" i="31"/>
  <c r="K9" i="31" s="1"/>
  <c r="E33" i="35"/>
  <c r="I6" i="35"/>
  <c r="K6" i="35" s="1"/>
  <c r="E34" i="59"/>
  <c r="I7" i="59"/>
  <c r="K7" i="59" s="1"/>
  <c r="E34" i="35"/>
  <c r="I7" i="35"/>
  <c r="K7" i="35" s="1"/>
  <c r="E35" i="35"/>
  <c r="I8" i="35"/>
  <c r="K8" i="35" s="1"/>
  <c r="E34" i="52"/>
  <c r="I7" i="52"/>
  <c r="K7" i="52" s="1"/>
  <c r="E33" i="56"/>
  <c r="I6" i="56"/>
  <c r="K6" i="56" s="1"/>
  <c r="E33" i="43"/>
  <c r="I6" i="43"/>
  <c r="K6" i="43" s="1"/>
  <c r="E33" i="49"/>
  <c r="I6" i="49"/>
  <c r="K6" i="49" s="1"/>
  <c r="E34" i="55"/>
  <c r="I7" i="55"/>
  <c r="K7" i="55" s="1"/>
  <c r="E34" i="36"/>
  <c r="I7" i="36"/>
  <c r="K7" i="36" s="1"/>
  <c r="E35" i="38"/>
  <c r="I8" i="38"/>
  <c r="K8" i="38" s="1"/>
  <c r="E36" i="43"/>
  <c r="I9" i="43"/>
  <c r="K9" i="43" s="1"/>
  <c r="E34" i="32"/>
  <c r="I7" i="32"/>
  <c r="K7" i="32" s="1"/>
  <c r="E35" i="50"/>
  <c r="I8" i="50"/>
  <c r="K8" i="50" s="1"/>
  <c r="E33" i="53"/>
  <c r="I6" i="53"/>
  <c r="K6" i="53" s="1"/>
  <c r="E36" i="59"/>
  <c r="I9" i="59"/>
  <c r="K9" i="59" s="1"/>
  <c r="E35" i="54"/>
  <c r="I8" i="54"/>
  <c r="E33" i="45"/>
  <c r="I6" i="45"/>
  <c r="K6" i="45" s="1"/>
  <c r="E33" i="37"/>
  <c r="I6" i="37"/>
  <c r="K6" i="37" s="1"/>
  <c r="E35" i="48"/>
  <c r="I8" i="48"/>
  <c r="K8" i="48" s="1"/>
  <c r="E36" i="54"/>
  <c r="I9" i="54"/>
  <c r="K9" i="54" s="1"/>
  <c r="E35" i="52"/>
  <c r="I8" i="52"/>
  <c r="K8" i="52" s="1"/>
  <c r="E34" i="40"/>
  <c r="I7" i="40"/>
  <c r="K7" i="40" s="1"/>
  <c r="E36" i="46"/>
  <c r="I9" i="46"/>
  <c r="K9" i="46" s="1"/>
  <c r="E36" i="16"/>
  <c r="I9" i="16"/>
  <c r="K9" i="16" s="1"/>
  <c r="E36" i="40"/>
  <c r="I9" i="40"/>
  <c r="K9" i="40" s="1"/>
  <c r="E34" i="42"/>
  <c r="I7" i="42"/>
  <c r="K7" i="42" s="1"/>
  <c r="E33" i="15"/>
  <c r="I6" i="15"/>
  <c r="K6" i="15" s="1"/>
  <c r="E36" i="55"/>
  <c r="I9" i="55"/>
  <c r="K9" i="55" s="1"/>
  <c r="E35" i="36"/>
  <c r="I8" i="36"/>
  <c r="K8" i="36" s="1"/>
  <c r="E36" i="37"/>
  <c r="I9" i="37"/>
  <c r="K9" i="37" s="1"/>
  <c r="E36" i="58"/>
  <c r="I9" i="58"/>
  <c r="K9" i="58" s="1"/>
  <c r="E34" i="16"/>
  <c r="I7" i="16"/>
  <c r="K7" i="16" s="1"/>
  <c r="E33" i="39"/>
  <c r="I6" i="39"/>
  <c r="K6" i="39" s="1"/>
  <c r="E35" i="44"/>
  <c r="I8" i="44"/>
  <c r="K8" i="44" s="1"/>
  <c r="E34" i="48"/>
  <c r="I7" i="48"/>
  <c r="K7" i="48" s="1"/>
  <c r="E35" i="51"/>
  <c r="I8" i="51"/>
  <c r="K8" i="51" s="1"/>
  <c r="E33" i="55"/>
  <c r="I6" i="55"/>
  <c r="K6" i="55" s="1"/>
  <c r="E36" i="47"/>
  <c r="E37" i="47" s="1"/>
  <c r="B46" i="47" s="1"/>
  <c r="D20" i="8" s="1"/>
  <c r="I9" i="47"/>
  <c r="K9" i="47" s="1"/>
  <c r="E35" i="32"/>
  <c r="I8" i="32"/>
  <c r="K8" i="32" s="1"/>
  <c r="E35" i="42"/>
  <c r="I8" i="42"/>
  <c r="K8" i="42" s="1"/>
  <c r="E35" i="59"/>
  <c r="I8" i="59"/>
  <c r="K8" i="59" s="1"/>
  <c r="E35" i="45"/>
  <c r="I8" i="45"/>
  <c r="K8" i="45" s="1"/>
  <c r="E36" i="44"/>
  <c r="I9" i="44"/>
  <c r="K9" i="44" s="1"/>
  <c r="E34" i="46"/>
  <c r="I7" i="46"/>
  <c r="K7" i="46" s="1"/>
  <c r="E36" i="32"/>
  <c r="I9" i="32"/>
  <c r="K9" i="32" s="1"/>
  <c r="E33" i="41"/>
  <c r="I6" i="41"/>
  <c r="K6" i="41" s="1"/>
  <c r="E34" i="33"/>
  <c r="I7" i="33"/>
  <c r="K7" i="33" s="1"/>
  <c r="E34" i="38"/>
  <c r="I7" i="38"/>
  <c r="K7" i="38" s="1"/>
  <c r="E35" i="15"/>
  <c r="I8" i="15"/>
  <c r="K8" i="15" s="1"/>
  <c r="E35" i="58"/>
  <c r="I8" i="58"/>
  <c r="K8" i="58" s="1"/>
  <c r="E33" i="44"/>
  <c r="I6" i="44"/>
  <c r="K6" i="44" s="1"/>
  <c r="E36" i="50"/>
  <c r="I9" i="50"/>
  <c r="K9" i="50" s="1"/>
  <c r="E35" i="33"/>
  <c r="I8" i="33"/>
  <c r="K8" i="33" s="1"/>
  <c r="E33" i="50"/>
  <c r="I6" i="50"/>
  <c r="K6" i="50" s="1"/>
  <c r="E23" i="47"/>
  <c r="E34" i="39"/>
  <c r="I7" i="39"/>
  <c r="K7" i="39" s="1"/>
  <c r="E34" i="44"/>
  <c r="I7" i="44"/>
  <c r="K7" i="44" s="1"/>
  <c r="E36" i="49"/>
  <c r="I9" i="49"/>
  <c r="K9" i="49" s="1"/>
  <c r="E34" i="51"/>
  <c r="I7" i="51"/>
  <c r="K7" i="51" s="1"/>
  <c r="E34" i="56"/>
  <c r="I7" i="56"/>
  <c r="K7" i="56" s="1"/>
  <c r="E33" i="31"/>
  <c r="I6" i="31"/>
  <c r="K6" i="31" s="1"/>
  <c r="E36" i="36"/>
  <c r="E37" i="36" s="1"/>
  <c r="B46" i="36" s="1"/>
  <c r="D6" i="8" s="1"/>
  <c r="I9" i="36"/>
  <c r="K9" i="36" s="1"/>
  <c r="E35" i="37"/>
  <c r="I8" i="37"/>
  <c r="K8" i="37" s="1"/>
  <c r="E36" i="48"/>
  <c r="I9" i="48"/>
  <c r="K9" i="48" s="1"/>
  <c r="E34" i="53"/>
  <c r="I7" i="53"/>
  <c r="K7" i="53" s="1"/>
  <c r="E34" i="31"/>
  <c r="I7" i="31"/>
  <c r="K7" i="31" s="1"/>
  <c r="E36" i="41"/>
  <c r="I9" i="41"/>
  <c r="K9" i="41" s="1"/>
  <c r="E34" i="43"/>
  <c r="I7" i="43"/>
  <c r="K7" i="43" s="1"/>
  <c r="E36" i="57"/>
  <c r="I9" i="57"/>
  <c r="K9" i="57" s="1"/>
  <c r="E35" i="41"/>
  <c r="I8" i="41"/>
  <c r="K8" i="41" s="1"/>
  <c r="E34" i="58"/>
  <c r="I7" i="58"/>
  <c r="K7" i="58" s="1"/>
  <c r="E35" i="39"/>
  <c r="I8" i="39"/>
  <c r="K8" i="39" s="1"/>
  <c r="E36" i="15"/>
  <c r="I9" i="15"/>
  <c r="K9" i="15" s="1"/>
  <c r="E36" i="52"/>
  <c r="I9" i="52"/>
  <c r="K9" i="52" s="1"/>
  <c r="E35" i="16"/>
  <c r="I8" i="16"/>
  <c r="K8" i="16" s="1"/>
  <c r="E36" i="45"/>
  <c r="I9" i="45"/>
  <c r="K9" i="45" s="1"/>
  <c r="E10" i="47"/>
  <c r="E34" i="49"/>
  <c r="I7" i="49"/>
  <c r="K7" i="49" s="1"/>
  <c r="E36" i="51"/>
  <c r="I9" i="51"/>
  <c r="K9" i="51" s="1"/>
  <c r="E35" i="56"/>
  <c r="I8" i="56"/>
  <c r="K8" i="56" s="1"/>
  <c r="E36" i="42"/>
  <c r="I9" i="42"/>
  <c r="K9" i="42" s="1"/>
  <c r="E35" i="40"/>
  <c r="I8" i="40"/>
  <c r="K8" i="40" s="1"/>
  <c r="E36" i="56"/>
  <c r="I9" i="56"/>
  <c r="K9" i="56" s="1"/>
  <c r="E36" i="39"/>
  <c r="I9" i="39"/>
  <c r="K9" i="39" s="1"/>
  <c r="E35" i="46"/>
  <c r="I8" i="46"/>
  <c r="K8" i="46" s="1"/>
  <c r="E34" i="15"/>
  <c r="I7" i="15"/>
  <c r="K7" i="15" s="1"/>
  <c r="E33" i="40"/>
  <c r="I6" i="40"/>
  <c r="K6" i="40" s="1"/>
  <c r="E35" i="49"/>
  <c r="I8" i="49"/>
  <c r="K8" i="49" s="1"/>
  <c r="E34" i="45"/>
  <c r="I7" i="45"/>
  <c r="K7" i="45" s="1"/>
  <c r="E33" i="33"/>
  <c r="D10" i="50"/>
  <c r="E24" i="47"/>
  <c r="E19" i="47"/>
  <c r="E22" i="47"/>
  <c r="D37" i="41"/>
  <c r="B43" i="41" s="1"/>
  <c r="C20" i="46"/>
  <c r="D10" i="54"/>
  <c r="D24" i="54"/>
  <c r="D23" i="54"/>
  <c r="D37" i="46"/>
  <c r="B43" i="46" s="1"/>
  <c r="D19" i="50"/>
  <c r="D37" i="40"/>
  <c r="B43" i="40" s="1"/>
  <c r="D23" i="41"/>
  <c r="D24" i="53"/>
  <c r="D22" i="50"/>
  <c r="D20" i="50"/>
  <c r="D23" i="50"/>
  <c r="E33" i="58"/>
  <c r="D37" i="57"/>
  <c r="B43" i="57" s="1"/>
  <c r="D37" i="33"/>
  <c r="B43" i="33" s="1"/>
  <c r="D20" i="53"/>
  <c r="E20" i="48"/>
  <c r="D23" i="53"/>
  <c r="E20" i="33"/>
  <c r="D19" i="53"/>
  <c r="D10" i="53"/>
  <c r="E33" i="51"/>
  <c r="D20" i="54"/>
  <c r="E33" i="52"/>
  <c r="D37" i="54"/>
  <c r="B43" i="54" s="1"/>
  <c r="D37" i="53"/>
  <c r="B43" i="53" s="1"/>
  <c r="E23" i="48"/>
  <c r="E24" i="48"/>
  <c r="E19" i="48"/>
  <c r="E22" i="48"/>
  <c r="C19" i="32"/>
  <c r="E33" i="48"/>
  <c r="E23" i="33"/>
  <c r="D37" i="42"/>
  <c r="B43" i="42" s="1"/>
  <c r="E24" i="33"/>
  <c r="D37" i="47"/>
  <c r="B43" i="47" s="1"/>
  <c r="E19" i="33"/>
  <c r="E22" i="33"/>
  <c r="D37" i="48"/>
  <c r="B43" i="48" s="1"/>
  <c r="D37" i="44"/>
  <c r="B43" i="44" s="1"/>
  <c r="D37" i="36"/>
  <c r="B43" i="36" s="1"/>
  <c r="D37" i="31"/>
  <c r="B43" i="31" s="1"/>
  <c r="L55" i="34"/>
  <c r="L54" i="34"/>
  <c r="M54" i="34" s="1"/>
  <c r="L53" i="34"/>
  <c r="M53" i="34" s="1"/>
  <c r="D33" i="34" s="1"/>
  <c r="I6" i="34" s="1"/>
  <c r="E37" i="59"/>
  <c r="B46" i="59" s="1"/>
  <c r="D34" i="8" s="1"/>
  <c r="L52" i="34"/>
  <c r="M52" i="34" s="1"/>
  <c r="D37" i="37"/>
  <c r="B43" i="37" s="1"/>
  <c r="L51" i="34"/>
  <c r="D37" i="59"/>
  <c r="B43" i="59" s="1"/>
  <c r="E24" i="59"/>
  <c r="D37" i="52"/>
  <c r="B43" i="52" s="1"/>
  <c r="D25" i="52"/>
  <c r="D27" i="52" s="1"/>
  <c r="D28" i="52" s="1"/>
  <c r="D37" i="51"/>
  <c r="B43" i="51" s="1"/>
  <c r="D37" i="50"/>
  <c r="B43" i="50" s="1"/>
  <c r="D37" i="49"/>
  <c r="B43" i="49" s="1"/>
  <c r="D37" i="32"/>
  <c r="B43" i="32" s="1"/>
  <c r="C22" i="32"/>
  <c r="C20" i="32"/>
  <c r="D22" i="32"/>
  <c r="D24" i="32"/>
  <c r="D10" i="32"/>
  <c r="C19" i="46"/>
  <c r="C22" i="46"/>
  <c r="D37" i="43"/>
  <c r="B43" i="43" s="1"/>
  <c r="E24" i="31"/>
  <c r="E19" i="31"/>
  <c r="E22" i="31"/>
  <c r="E20" i="31"/>
  <c r="C25" i="16"/>
  <c r="C26" i="16" s="1"/>
  <c r="D10" i="41"/>
  <c r="D19" i="41"/>
  <c r="D20" i="41"/>
  <c r="D22" i="41"/>
  <c r="D37" i="39"/>
  <c r="B43" i="39" s="1"/>
  <c r="D36" i="35"/>
  <c r="M45" i="34"/>
  <c r="M44" i="34"/>
  <c r="M56" i="34"/>
  <c r="D25" i="51"/>
  <c r="D26" i="51" s="1"/>
  <c r="D25" i="49"/>
  <c r="D26" i="49" s="1"/>
  <c r="D25" i="42"/>
  <c r="D26" i="42" s="1"/>
  <c r="D20" i="32"/>
  <c r="D25" i="59"/>
  <c r="D27" i="59" s="1"/>
  <c r="D28" i="59" s="1"/>
  <c r="D25" i="31"/>
  <c r="D27" i="31" s="1"/>
  <c r="D28" i="31" s="1"/>
  <c r="D23" i="32"/>
  <c r="E19" i="59"/>
  <c r="E10" i="59"/>
  <c r="E20" i="59"/>
  <c r="E23" i="59"/>
  <c r="C20" i="59"/>
  <c r="C22" i="59"/>
  <c r="C19" i="59"/>
  <c r="C10" i="59"/>
  <c r="D37" i="58"/>
  <c r="B43" i="58" s="1"/>
  <c r="E22" i="58"/>
  <c r="E19" i="58"/>
  <c r="E24" i="58"/>
  <c r="E23" i="58"/>
  <c r="E20" i="58"/>
  <c r="E10" i="58"/>
  <c r="D22" i="58"/>
  <c r="D19" i="58"/>
  <c r="D24" i="58"/>
  <c r="D10" i="58"/>
  <c r="D23" i="58"/>
  <c r="D20" i="58"/>
  <c r="C20" i="58"/>
  <c r="C22" i="58"/>
  <c r="C19" i="58"/>
  <c r="C10" i="58"/>
  <c r="D22" i="57"/>
  <c r="D19" i="57"/>
  <c r="D23" i="57"/>
  <c r="D20" i="57"/>
  <c r="D24" i="57"/>
  <c r="D10" i="57"/>
  <c r="C20" i="57"/>
  <c r="C22" i="57"/>
  <c r="C19" i="57"/>
  <c r="C10" i="57"/>
  <c r="E22" i="57"/>
  <c r="E19" i="57"/>
  <c r="E24" i="57"/>
  <c r="E23" i="57"/>
  <c r="E20" i="57"/>
  <c r="E10" i="57"/>
  <c r="D37" i="56"/>
  <c r="B43" i="56" s="1"/>
  <c r="D22" i="56"/>
  <c r="D19" i="56"/>
  <c r="D24" i="56"/>
  <c r="D23" i="56"/>
  <c r="D20" i="56"/>
  <c r="D10" i="56"/>
  <c r="E22" i="56"/>
  <c r="E19" i="56"/>
  <c r="E24" i="56"/>
  <c r="E23" i="56"/>
  <c r="E20" i="56"/>
  <c r="E10" i="56"/>
  <c r="C20" i="56"/>
  <c r="C22" i="56"/>
  <c r="C19" i="56"/>
  <c r="C10" i="56"/>
  <c r="C20" i="55"/>
  <c r="C22" i="55"/>
  <c r="C19" i="55"/>
  <c r="C10" i="55"/>
  <c r="E22" i="55"/>
  <c r="E19" i="55"/>
  <c r="E24" i="55"/>
  <c r="E23" i="55"/>
  <c r="E20" i="55"/>
  <c r="E10" i="55"/>
  <c r="C20" i="54"/>
  <c r="C22" i="54"/>
  <c r="C19" i="54"/>
  <c r="C10" i="54"/>
  <c r="E22" i="54"/>
  <c r="E19" i="54"/>
  <c r="E24" i="54"/>
  <c r="E23" i="54"/>
  <c r="E20" i="54"/>
  <c r="E10" i="54"/>
  <c r="E22" i="53"/>
  <c r="E19" i="53"/>
  <c r="E24" i="53"/>
  <c r="E23" i="53"/>
  <c r="E20" i="53"/>
  <c r="E10" i="53"/>
  <c r="C20" i="53"/>
  <c r="C22" i="53"/>
  <c r="C19" i="53"/>
  <c r="C10" i="53"/>
  <c r="C20" i="52"/>
  <c r="C22" i="52"/>
  <c r="C19" i="52"/>
  <c r="C10" i="52"/>
  <c r="E22" i="52"/>
  <c r="E19" i="52"/>
  <c r="E24" i="52"/>
  <c r="E23" i="52"/>
  <c r="E20" i="52"/>
  <c r="E10" i="52"/>
  <c r="E22" i="51"/>
  <c r="E19" i="51"/>
  <c r="E24" i="51"/>
  <c r="E23" i="51"/>
  <c r="E20" i="51"/>
  <c r="E10" i="51"/>
  <c r="C20" i="51"/>
  <c r="C22" i="51"/>
  <c r="C19" i="51"/>
  <c r="C10" i="51"/>
  <c r="C20" i="50"/>
  <c r="C22" i="50"/>
  <c r="C19" i="50"/>
  <c r="C10" i="50"/>
  <c r="E22" i="50"/>
  <c r="E19" i="50"/>
  <c r="E24" i="50"/>
  <c r="E23" i="50"/>
  <c r="E20" i="50"/>
  <c r="E10" i="50"/>
  <c r="E22" i="49"/>
  <c r="E19" i="49"/>
  <c r="E24" i="49"/>
  <c r="E23" i="49"/>
  <c r="E20" i="49"/>
  <c r="E10" i="49"/>
  <c r="C20" i="49"/>
  <c r="C22" i="49"/>
  <c r="C19" i="49"/>
  <c r="C10" i="49"/>
  <c r="D25" i="48"/>
  <c r="D26" i="48" s="1"/>
  <c r="C20" i="48"/>
  <c r="C22" i="48"/>
  <c r="C19" i="48"/>
  <c r="C10" i="48"/>
  <c r="D20" i="33"/>
  <c r="D22" i="33"/>
  <c r="D19" i="33"/>
  <c r="D24" i="33"/>
  <c r="D23" i="33"/>
  <c r="D10" i="33"/>
  <c r="C20" i="33"/>
  <c r="C22" i="33"/>
  <c r="C19" i="33"/>
  <c r="C10" i="33"/>
  <c r="E25" i="32"/>
  <c r="E27" i="32" s="1"/>
  <c r="E28" i="32" s="1"/>
  <c r="C20" i="47"/>
  <c r="C22" i="47"/>
  <c r="C19" i="47"/>
  <c r="C10" i="47"/>
  <c r="D22" i="47"/>
  <c r="D19" i="47"/>
  <c r="D24" i="47"/>
  <c r="D23" i="47"/>
  <c r="D20" i="47"/>
  <c r="D10" i="47"/>
  <c r="D25" i="46"/>
  <c r="D26" i="46" s="1"/>
  <c r="E22" i="46"/>
  <c r="E23" i="46"/>
  <c r="E19" i="46"/>
  <c r="E20" i="46"/>
  <c r="E24" i="46"/>
  <c r="E10" i="46"/>
  <c r="D25" i="45"/>
  <c r="D27" i="45" s="1"/>
  <c r="D28" i="45" s="1"/>
  <c r="C25" i="45"/>
  <c r="C27" i="45" s="1"/>
  <c r="D37" i="45"/>
  <c r="B43" i="45" s="1"/>
  <c r="E22" i="45"/>
  <c r="E23" i="45"/>
  <c r="E19" i="45"/>
  <c r="E24" i="45"/>
  <c r="E20" i="45"/>
  <c r="E10" i="45"/>
  <c r="E22" i="44"/>
  <c r="E19" i="44"/>
  <c r="E24" i="44"/>
  <c r="E10" i="44"/>
  <c r="E23" i="44"/>
  <c r="E20" i="44"/>
  <c r="D22" i="44"/>
  <c r="D19" i="44"/>
  <c r="D24" i="44"/>
  <c r="D23" i="44"/>
  <c r="D20" i="44"/>
  <c r="D10" i="44"/>
  <c r="C20" i="44"/>
  <c r="C22" i="44"/>
  <c r="C19" i="44"/>
  <c r="C10" i="44"/>
  <c r="C20" i="43"/>
  <c r="C22" i="43"/>
  <c r="C19" i="43"/>
  <c r="C10" i="43"/>
  <c r="E22" i="43"/>
  <c r="E24" i="43"/>
  <c r="E19" i="43"/>
  <c r="E23" i="43"/>
  <c r="E20" i="43"/>
  <c r="E10" i="43"/>
  <c r="D22" i="43"/>
  <c r="D19" i="43"/>
  <c r="D23" i="43"/>
  <c r="D24" i="43"/>
  <c r="D20" i="43"/>
  <c r="D10" i="43"/>
  <c r="C25" i="31"/>
  <c r="C26" i="31" s="1"/>
  <c r="E25" i="16"/>
  <c r="E27" i="16" s="1"/>
  <c r="E28" i="16" s="1"/>
  <c r="E33" i="16"/>
  <c r="D37" i="16"/>
  <c r="B43" i="16" s="1"/>
  <c r="D22" i="16"/>
  <c r="D19" i="16"/>
  <c r="D24" i="16"/>
  <c r="D23" i="16"/>
  <c r="D20" i="16"/>
  <c r="D10" i="16"/>
  <c r="D37" i="15"/>
  <c r="B43" i="15" s="1"/>
  <c r="E19" i="15"/>
  <c r="E24" i="15"/>
  <c r="E10" i="15"/>
  <c r="E23" i="15"/>
  <c r="E20" i="15"/>
  <c r="E22" i="15"/>
  <c r="D22" i="15"/>
  <c r="D19" i="15"/>
  <c r="D24" i="15"/>
  <c r="D23" i="15"/>
  <c r="D20" i="15"/>
  <c r="D10" i="15"/>
  <c r="C22" i="15"/>
  <c r="C19" i="15"/>
  <c r="C20" i="15"/>
  <c r="C10" i="15"/>
  <c r="E25" i="42"/>
  <c r="E26" i="42" s="1"/>
  <c r="C20" i="42"/>
  <c r="C22" i="42"/>
  <c r="C19" i="42"/>
  <c r="C10" i="42"/>
  <c r="E22" i="41"/>
  <c r="E24" i="41"/>
  <c r="E23" i="41"/>
  <c r="E20" i="41"/>
  <c r="E19" i="41"/>
  <c r="E10" i="41"/>
  <c r="C20" i="41"/>
  <c r="C22" i="41"/>
  <c r="C19" i="41"/>
  <c r="C10" i="41"/>
  <c r="D22" i="40"/>
  <c r="D19" i="40"/>
  <c r="D20" i="40"/>
  <c r="D23" i="40"/>
  <c r="D24" i="40"/>
  <c r="D10" i="40"/>
  <c r="C20" i="40"/>
  <c r="C22" i="40"/>
  <c r="C19" i="40"/>
  <c r="C10" i="40"/>
  <c r="E22" i="40"/>
  <c r="E19" i="40"/>
  <c r="E24" i="40"/>
  <c r="E23" i="40"/>
  <c r="E20" i="40"/>
  <c r="E10" i="40"/>
  <c r="D19" i="39"/>
  <c r="D24" i="39"/>
  <c r="D22" i="39"/>
  <c r="D23" i="39"/>
  <c r="D20" i="39"/>
  <c r="D10" i="39"/>
  <c r="E22" i="39"/>
  <c r="E19" i="39"/>
  <c r="E24" i="39"/>
  <c r="E23" i="39"/>
  <c r="E20" i="39"/>
  <c r="E10" i="39"/>
  <c r="C20" i="39"/>
  <c r="C19" i="39"/>
  <c r="C22" i="39"/>
  <c r="C10" i="39"/>
  <c r="D37" i="38"/>
  <c r="B43" i="38" s="1"/>
  <c r="C22" i="38"/>
  <c r="C19" i="38"/>
  <c r="C20" i="38"/>
  <c r="C10" i="38"/>
  <c r="D19" i="38"/>
  <c r="D22" i="38"/>
  <c r="D24" i="38"/>
  <c r="D20" i="38"/>
  <c r="D23" i="38"/>
  <c r="D10" i="38"/>
  <c r="E24" i="38"/>
  <c r="E10" i="38"/>
  <c r="E22" i="38"/>
  <c r="E19" i="38"/>
  <c r="E23" i="38"/>
  <c r="E20" i="38"/>
  <c r="D20" i="36"/>
  <c r="C20" i="37"/>
  <c r="C22" i="37"/>
  <c r="C19" i="37"/>
  <c r="C10" i="37"/>
  <c r="D23" i="37"/>
  <c r="D22" i="37"/>
  <c r="D19" i="37"/>
  <c r="D24" i="37"/>
  <c r="D20" i="37"/>
  <c r="D10" i="37"/>
  <c r="E22" i="37"/>
  <c r="E19" i="37"/>
  <c r="E10" i="37"/>
  <c r="E24" i="37"/>
  <c r="E23" i="37"/>
  <c r="E20" i="37"/>
  <c r="D24" i="36"/>
  <c r="D19" i="36"/>
  <c r="D22" i="36"/>
  <c r="D10" i="36"/>
  <c r="C25" i="36"/>
  <c r="C26" i="36" s="1"/>
  <c r="E19" i="36"/>
  <c r="E24" i="36"/>
  <c r="E23" i="36"/>
  <c r="E20" i="36"/>
  <c r="E22" i="36"/>
  <c r="E10" i="36"/>
  <c r="C20" i="35"/>
  <c r="C10" i="35"/>
  <c r="D25" i="35"/>
  <c r="D27" i="35" s="1"/>
  <c r="D28" i="35" s="1"/>
  <c r="C19" i="35"/>
  <c r="E22" i="35"/>
  <c r="E19" i="35"/>
  <c r="E24" i="35"/>
  <c r="E23" i="35"/>
  <c r="E20" i="35"/>
  <c r="E10" i="35"/>
  <c r="C37" i="34"/>
  <c r="B42" i="34" s="1"/>
  <c r="E21" i="34"/>
  <c r="D21" i="34"/>
  <c r="C21" i="34"/>
  <c r="D25" i="55" l="1"/>
  <c r="D26" i="55" s="1"/>
  <c r="D37" i="55"/>
  <c r="B43" i="55" s="1"/>
  <c r="I8" i="55"/>
  <c r="K8" i="55" s="1"/>
  <c r="E37" i="57"/>
  <c r="B46" i="57" s="1"/>
  <c r="D32" i="8" s="1"/>
  <c r="E37" i="44"/>
  <c r="B46" i="44" s="1"/>
  <c r="D17" i="8" s="1"/>
  <c r="E37" i="55"/>
  <c r="B46" i="55" s="1"/>
  <c r="D30" i="8" s="1"/>
  <c r="K8" i="54"/>
  <c r="E37" i="56"/>
  <c r="B46" i="56" s="1"/>
  <c r="D31" i="8" s="1"/>
  <c r="E37" i="48"/>
  <c r="B46" i="48" s="1"/>
  <c r="D23" i="8" s="1"/>
  <c r="E37" i="33"/>
  <c r="B46" i="33" s="1"/>
  <c r="D22" i="8" s="1"/>
  <c r="E37" i="53"/>
  <c r="B46" i="53" s="1"/>
  <c r="B47" i="53" s="1"/>
  <c r="G28" i="8" s="1"/>
  <c r="E37" i="50"/>
  <c r="B46" i="50" s="1"/>
  <c r="D25" i="8" s="1"/>
  <c r="E37" i="45"/>
  <c r="B46" i="45" s="1"/>
  <c r="D18" i="8" s="1"/>
  <c r="E37" i="51"/>
  <c r="B46" i="51" s="1"/>
  <c r="D26" i="8" s="1"/>
  <c r="E37" i="43"/>
  <c r="B46" i="43" s="1"/>
  <c r="D16" i="8" s="1"/>
  <c r="E37" i="40"/>
  <c r="B46" i="40" s="1"/>
  <c r="D10" i="8" s="1"/>
  <c r="E37" i="54"/>
  <c r="B46" i="54" s="1"/>
  <c r="D29" i="8" s="1"/>
  <c r="E37" i="15"/>
  <c r="B46" i="15" s="1"/>
  <c r="D13" i="8" s="1"/>
  <c r="E37" i="39"/>
  <c r="B46" i="39" s="1"/>
  <c r="D9" i="8" s="1"/>
  <c r="E37" i="37"/>
  <c r="B46" i="37" s="1"/>
  <c r="D7" i="8" s="1"/>
  <c r="E37" i="38"/>
  <c r="B46" i="38" s="1"/>
  <c r="D8" i="8" s="1"/>
  <c r="E37" i="58"/>
  <c r="B46" i="58" s="1"/>
  <c r="D33" i="8" s="1"/>
  <c r="E37" i="42"/>
  <c r="B46" i="42" s="1"/>
  <c r="D12" i="8" s="1"/>
  <c r="E37" i="16"/>
  <c r="B46" i="16" s="1"/>
  <c r="D14" i="8" s="1"/>
  <c r="E37" i="41"/>
  <c r="B46" i="41" s="1"/>
  <c r="D11" i="8" s="1"/>
  <c r="E37" i="31"/>
  <c r="B46" i="31" s="1"/>
  <c r="D15" i="8" s="1"/>
  <c r="E37" i="49"/>
  <c r="B46" i="49" s="1"/>
  <c r="D24" i="8" s="1"/>
  <c r="E37" i="32"/>
  <c r="B46" i="32" s="1"/>
  <c r="D21" i="8" s="1"/>
  <c r="E37" i="46"/>
  <c r="B46" i="46" s="1"/>
  <c r="D19" i="8" s="1"/>
  <c r="B47" i="40"/>
  <c r="G11" i="8" s="1"/>
  <c r="B47" i="57"/>
  <c r="G32" i="8" s="1"/>
  <c r="D25" i="50"/>
  <c r="D26" i="50" s="1"/>
  <c r="E36" i="35"/>
  <c r="E37" i="35" s="1"/>
  <c r="B46" i="35" s="1"/>
  <c r="D5" i="8" s="1"/>
  <c r="I9" i="35"/>
  <c r="K9" i="35" s="1"/>
  <c r="E37" i="52"/>
  <c r="B46" i="52" s="1"/>
  <c r="B47" i="52" s="1"/>
  <c r="G27" i="8" s="1"/>
  <c r="K6" i="34"/>
  <c r="D5" i="64" s="1"/>
  <c r="B5" i="64"/>
  <c r="E25" i="47"/>
  <c r="E26" i="47" s="1"/>
  <c r="D25" i="53"/>
  <c r="D26" i="53" s="1"/>
  <c r="D25" i="54"/>
  <c r="D27" i="54" s="1"/>
  <c r="D28" i="54" s="1"/>
  <c r="E25" i="33"/>
  <c r="E27" i="33" s="1"/>
  <c r="E28" i="33" s="1"/>
  <c r="B47" i="47"/>
  <c r="G20" i="8" s="1"/>
  <c r="E25" i="48"/>
  <c r="E26" i="48" s="1"/>
  <c r="C25" i="32"/>
  <c r="C27" i="32" s="1"/>
  <c r="C28" i="32" s="1"/>
  <c r="C27" i="31"/>
  <c r="C28" i="31" s="1"/>
  <c r="B47" i="56"/>
  <c r="G31" i="8" s="1"/>
  <c r="E25" i="31"/>
  <c r="E26" i="31" s="1"/>
  <c r="D27" i="49"/>
  <c r="D28" i="49" s="1"/>
  <c r="B47" i="36"/>
  <c r="G6" i="8" s="1"/>
  <c r="B47" i="48"/>
  <c r="G23" i="8" s="1"/>
  <c r="C25" i="46"/>
  <c r="C26" i="46" s="1"/>
  <c r="D35" i="34"/>
  <c r="I8" i="34" s="1"/>
  <c r="B7" i="64" s="1"/>
  <c r="M51" i="34"/>
  <c r="D36" i="34" s="1"/>
  <c r="I9" i="34" s="1"/>
  <c r="D28" i="8"/>
  <c r="E33" i="34"/>
  <c r="D26" i="45"/>
  <c r="M55" i="34"/>
  <c r="D26" i="52"/>
  <c r="B47" i="59"/>
  <c r="G34" i="8" s="1"/>
  <c r="D26" i="59"/>
  <c r="C25" i="54"/>
  <c r="C26" i="54" s="1"/>
  <c r="D27" i="51"/>
  <c r="D28" i="51" s="1"/>
  <c r="D25" i="32"/>
  <c r="D26" i="32" s="1"/>
  <c r="C27" i="16"/>
  <c r="C28" i="16" s="1"/>
  <c r="D27" i="42"/>
  <c r="D28" i="42" s="1"/>
  <c r="D25" i="41"/>
  <c r="D26" i="41" s="1"/>
  <c r="D37" i="35"/>
  <c r="B43" i="35" s="1"/>
  <c r="D26" i="31"/>
  <c r="E25" i="41"/>
  <c r="E26" i="41" s="1"/>
  <c r="C25" i="48"/>
  <c r="C26" i="48" s="1"/>
  <c r="E25" i="54"/>
  <c r="E27" i="54" s="1"/>
  <c r="E28" i="54" s="1"/>
  <c r="C25" i="44"/>
  <c r="C26" i="44" s="1"/>
  <c r="E25" i="59"/>
  <c r="C25" i="59"/>
  <c r="C25" i="58"/>
  <c r="C27" i="58" s="1"/>
  <c r="E25" i="58"/>
  <c r="D25" i="58"/>
  <c r="D25" i="57"/>
  <c r="D26" i="57" s="1"/>
  <c r="E25" i="57"/>
  <c r="C25" i="57"/>
  <c r="E25" i="56"/>
  <c r="E27" i="56" s="1"/>
  <c r="E28" i="56" s="1"/>
  <c r="C25" i="56"/>
  <c r="C27" i="56" s="1"/>
  <c r="D25" i="56"/>
  <c r="C25" i="55"/>
  <c r="E25" i="55"/>
  <c r="C25" i="53"/>
  <c r="E25" i="53"/>
  <c r="C25" i="52"/>
  <c r="E25" i="52"/>
  <c r="E25" i="51"/>
  <c r="E27" i="51" s="1"/>
  <c r="E28" i="51" s="1"/>
  <c r="C25" i="51"/>
  <c r="C25" i="50"/>
  <c r="E25" i="50"/>
  <c r="C25" i="49"/>
  <c r="E25" i="49"/>
  <c r="D27" i="48"/>
  <c r="D28" i="48" s="1"/>
  <c r="D25" i="33"/>
  <c r="C25" i="33"/>
  <c r="E26" i="32"/>
  <c r="C25" i="47"/>
  <c r="D25" i="47"/>
  <c r="D27" i="46"/>
  <c r="D28" i="46" s="1"/>
  <c r="E25" i="46"/>
  <c r="C26" i="45"/>
  <c r="C28" i="45"/>
  <c r="E25" i="45"/>
  <c r="E25" i="44"/>
  <c r="D25" i="44"/>
  <c r="E25" i="43"/>
  <c r="D25" i="43"/>
  <c r="C25" i="43"/>
  <c r="D25" i="16"/>
  <c r="D27" i="16" s="1"/>
  <c r="E26" i="16"/>
  <c r="E25" i="15"/>
  <c r="E27" i="15" s="1"/>
  <c r="E28" i="15" s="1"/>
  <c r="C25" i="15"/>
  <c r="D25" i="15"/>
  <c r="E27" i="42"/>
  <c r="E28" i="42" s="1"/>
  <c r="C25" i="42"/>
  <c r="C25" i="41"/>
  <c r="D25" i="40"/>
  <c r="E25" i="40"/>
  <c r="C25" i="40"/>
  <c r="E25" i="39"/>
  <c r="C25" i="39"/>
  <c r="D25" i="39"/>
  <c r="C25" i="38"/>
  <c r="E25" i="38"/>
  <c r="D25" i="38"/>
  <c r="C25" i="35"/>
  <c r="C27" i="35" s="1"/>
  <c r="C28" i="35" s="1"/>
  <c r="E25" i="37"/>
  <c r="E26" i="37" s="1"/>
  <c r="C25" i="37"/>
  <c r="D25" i="37"/>
  <c r="D25" i="36"/>
  <c r="D26" i="36" s="1"/>
  <c r="C27" i="36"/>
  <c r="C28" i="36" s="1"/>
  <c r="E25" i="36"/>
  <c r="D26" i="35"/>
  <c r="E25" i="35"/>
  <c r="C10" i="34"/>
  <c r="C22" i="34"/>
  <c r="C20" i="34"/>
  <c r="C19" i="34"/>
  <c r="D10" i="34"/>
  <c r="D22" i="34"/>
  <c r="D19" i="34"/>
  <c r="D23" i="34"/>
  <c r="D20" i="34"/>
  <c r="D24" i="34"/>
  <c r="E10" i="34"/>
  <c r="E22" i="34"/>
  <c r="E23" i="34"/>
  <c r="E20" i="34"/>
  <c r="E24" i="34"/>
  <c r="E19" i="34"/>
  <c r="D27" i="55" l="1"/>
  <c r="D28" i="55" s="1"/>
  <c r="B47" i="38"/>
  <c r="G8" i="8" s="1"/>
  <c r="B47" i="44"/>
  <c r="G17" i="8" s="1"/>
  <c r="B47" i="33"/>
  <c r="G22" i="8" s="1"/>
  <c r="B47" i="55"/>
  <c r="G30" i="8" s="1"/>
  <c r="B47" i="50"/>
  <c r="G25" i="8" s="1"/>
  <c r="D27" i="8"/>
  <c r="B47" i="51"/>
  <c r="G26" i="8" s="1"/>
  <c r="B47" i="49"/>
  <c r="G24" i="8" s="1"/>
  <c r="B47" i="45"/>
  <c r="G18" i="8" s="1"/>
  <c r="B47" i="43"/>
  <c r="G16" i="8" s="1"/>
  <c r="B47" i="54"/>
  <c r="G29" i="8" s="1"/>
  <c r="B47" i="58"/>
  <c r="G33" i="8" s="1"/>
  <c r="B47" i="31"/>
  <c r="G15" i="8" s="1"/>
  <c r="B47" i="39"/>
  <c r="G9" i="8" s="1"/>
  <c r="B47" i="42"/>
  <c r="G12" i="8" s="1"/>
  <c r="B47" i="15"/>
  <c r="G13" i="8" s="1"/>
  <c r="B47" i="41"/>
  <c r="B47" i="37"/>
  <c r="G7" i="8" s="1"/>
  <c r="B47" i="16"/>
  <c r="G14" i="8" s="1"/>
  <c r="D27" i="50"/>
  <c r="D28" i="50" s="1"/>
  <c r="B47" i="32"/>
  <c r="G21" i="8" s="1"/>
  <c r="G10" i="8"/>
  <c r="B47" i="46"/>
  <c r="G19" i="8" s="1"/>
  <c r="K8" i="34"/>
  <c r="D7" i="64" s="1"/>
  <c r="B47" i="35"/>
  <c r="G5" i="8" s="1"/>
  <c r="K9" i="34"/>
  <c r="D8" i="64" s="1"/>
  <c r="B8" i="64"/>
  <c r="E27" i="47"/>
  <c r="E28" i="47" s="1"/>
  <c r="D27" i="53"/>
  <c r="D28" i="53" s="1"/>
  <c r="D26" i="54"/>
  <c r="E26" i="33"/>
  <c r="E27" i="48"/>
  <c r="E28" i="48" s="1"/>
  <c r="C26" i="32"/>
  <c r="D27" i="32"/>
  <c r="D28" i="32" s="1"/>
  <c r="C27" i="46"/>
  <c r="C28" i="46" s="1"/>
  <c r="E27" i="31"/>
  <c r="E28" i="31" s="1"/>
  <c r="E35" i="34"/>
  <c r="E26" i="54"/>
  <c r="C27" i="54"/>
  <c r="B44" i="54" s="1"/>
  <c r="C29" i="8" s="1"/>
  <c r="D34" i="34"/>
  <c r="I7" i="34" s="1"/>
  <c r="E36" i="34"/>
  <c r="C27" i="48"/>
  <c r="D27" i="41"/>
  <c r="D28" i="41" s="1"/>
  <c r="E26" i="56"/>
  <c r="E26" i="51"/>
  <c r="C27" i="44"/>
  <c r="C28" i="44" s="1"/>
  <c r="E27" i="41"/>
  <c r="E28" i="41" s="1"/>
  <c r="C26" i="58"/>
  <c r="E26" i="59"/>
  <c r="E27" i="59"/>
  <c r="E28" i="59" s="1"/>
  <c r="C26" i="59"/>
  <c r="C27" i="59"/>
  <c r="E26" i="58"/>
  <c r="E27" i="58"/>
  <c r="E28" i="58" s="1"/>
  <c r="D27" i="58"/>
  <c r="D28" i="58" s="1"/>
  <c r="D26" i="58"/>
  <c r="C28" i="58"/>
  <c r="D27" i="57"/>
  <c r="D28" i="57" s="1"/>
  <c r="E26" i="57"/>
  <c r="E27" i="57"/>
  <c r="E28" i="57" s="1"/>
  <c r="C26" i="57"/>
  <c r="C27" i="57"/>
  <c r="C26" i="56"/>
  <c r="D26" i="56"/>
  <c r="D27" i="56"/>
  <c r="D28" i="56" s="1"/>
  <c r="C28" i="56"/>
  <c r="E26" i="55"/>
  <c r="E27" i="55"/>
  <c r="E28" i="55" s="1"/>
  <c r="C26" i="55"/>
  <c r="C27" i="55"/>
  <c r="E26" i="53"/>
  <c r="E27" i="53"/>
  <c r="E28" i="53" s="1"/>
  <c r="C26" i="53"/>
  <c r="C27" i="53"/>
  <c r="C26" i="52"/>
  <c r="C27" i="52"/>
  <c r="E26" i="52"/>
  <c r="E27" i="52"/>
  <c r="E28" i="52" s="1"/>
  <c r="C26" i="51"/>
  <c r="C27" i="51"/>
  <c r="C26" i="50"/>
  <c r="C27" i="50"/>
  <c r="E26" i="50"/>
  <c r="E27" i="50"/>
  <c r="E28" i="50" s="1"/>
  <c r="E26" i="49"/>
  <c r="E27" i="49"/>
  <c r="E28" i="49" s="1"/>
  <c r="C26" i="49"/>
  <c r="C27" i="49"/>
  <c r="C26" i="33"/>
  <c r="C27" i="33"/>
  <c r="D26" i="33"/>
  <c r="D27" i="33"/>
  <c r="D28" i="33" s="1"/>
  <c r="D26" i="47"/>
  <c r="D27" i="47"/>
  <c r="D28" i="47" s="1"/>
  <c r="C26" i="47"/>
  <c r="C27" i="47"/>
  <c r="E26" i="46"/>
  <c r="E27" i="46"/>
  <c r="E26" i="45"/>
  <c r="E27" i="45"/>
  <c r="D27" i="44"/>
  <c r="D28" i="44" s="1"/>
  <c r="D26" i="44"/>
  <c r="E27" i="44"/>
  <c r="E28" i="44" s="1"/>
  <c r="E26" i="44"/>
  <c r="C26" i="43"/>
  <c r="C27" i="43"/>
  <c r="E26" i="43"/>
  <c r="E27" i="43"/>
  <c r="E28" i="43" s="1"/>
  <c r="D27" i="43"/>
  <c r="D28" i="43" s="1"/>
  <c r="D26" i="43"/>
  <c r="D28" i="16"/>
  <c r="B44" i="16"/>
  <c r="D26" i="16"/>
  <c r="E26" i="15"/>
  <c r="C26" i="15"/>
  <c r="C27" i="15"/>
  <c r="D26" i="15"/>
  <c r="D27" i="15"/>
  <c r="D28" i="15" s="1"/>
  <c r="C26" i="42"/>
  <c r="C27" i="42"/>
  <c r="C26" i="41"/>
  <c r="C27" i="41"/>
  <c r="E26" i="40"/>
  <c r="E27" i="40"/>
  <c r="E28" i="40" s="1"/>
  <c r="D26" i="40"/>
  <c r="D27" i="40"/>
  <c r="D28" i="40" s="1"/>
  <c r="C26" i="40"/>
  <c r="C27" i="40"/>
  <c r="C26" i="39"/>
  <c r="C27" i="39"/>
  <c r="D26" i="39"/>
  <c r="D27" i="39"/>
  <c r="D28" i="39" s="1"/>
  <c r="E26" i="39"/>
  <c r="E27" i="39"/>
  <c r="E28" i="39" s="1"/>
  <c r="D26" i="38"/>
  <c r="D27" i="38"/>
  <c r="D28" i="38" s="1"/>
  <c r="E26" i="38"/>
  <c r="E27" i="38"/>
  <c r="E28" i="38" s="1"/>
  <c r="C26" i="38"/>
  <c r="C27" i="38"/>
  <c r="C26" i="35"/>
  <c r="D26" i="37"/>
  <c r="D27" i="37"/>
  <c r="D28" i="37" s="1"/>
  <c r="C26" i="37"/>
  <c r="C27" i="37"/>
  <c r="E27" i="37"/>
  <c r="E28" i="37" s="1"/>
  <c r="D27" i="36"/>
  <c r="D28" i="36" s="1"/>
  <c r="E26" i="36"/>
  <c r="E27" i="36"/>
  <c r="E26" i="35"/>
  <c r="E27" i="35"/>
  <c r="C25" i="34"/>
  <c r="C27" i="34" s="1"/>
  <c r="E25" i="34"/>
  <c r="E27" i="34" s="1"/>
  <c r="E28" i="34" s="1"/>
  <c r="D25" i="34"/>
  <c r="D27" i="34" s="1"/>
  <c r="D28" i="34" s="1"/>
  <c r="K7" i="34" l="1"/>
  <c r="D6" i="64" s="1"/>
  <c r="B6" i="64"/>
  <c r="B44" i="48"/>
  <c r="C23" i="8" s="1"/>
  <c r="B44" i="31"/>
  <c r="B45" i="31" s="1"/>
  <c r="B44" i="32"/>
  <c r="C21" i="8" s="1"/>
  <c r="C28" i="54"/>
  <c r="B45" i="16"/>
  <c r="C14" i="8"/>
  <c r="E34" i="34"/>
  <c r="E37" i="34" s="1"/>
  <c r="B46" i="34" s="1"/>
  <c r="D4" i="8" s="1"/>
  <c r="D35" i="8" s="1"/>
  <c r="D37" i="34"/>
  <c r="B43" i="34" s="1"/>
  <c r="C28" i="48"/>
  <c r="B44" i="59"/>
  <c r="C34" i="8" s="1"/>
  <c r="C28" i="59"/>
  <c r="B44" i="58"/>
  <c r="C33" i="8" s="1"/>
  <c r="B44" i="57"/>
  <c r="C32" i="8" s="1"/>
  <c r="C28" i="57"/>
  <c r="B44" i="56"/>
  <c r="C31" i="8" s="1"/>
  <c r="B44" i="55"/>
  <c r="C30" i="8" s="1"/>
  <c r="C28" i="55"/>
  <c r="B45" i="54"/>
  <c r="B48" i="54"/>
  <c r="B44" i="53"/>
  <c r="C28" i="8" s="1"/>
  <c r="C28" i="53"/>
  <c r="B44" i="52"/>
  <c r="C27" i="8" s="1"/>
  <c r="C28" i="52"/>
  <c r="B44" i="51"/>
  <c r="C26" i="8" s="1"/>
  <c r="C28" i="51"/>
  <c r="B44" i="50"/>
  <c r="C25" i="8" s="1"/>
  <c r="C28" i="50"/>
  <c r="B44" i="49"/>
  <c r="C24" i="8" s="1"/>
  <c r="C28" i="49"/>
  <c r="B44" i="33"/>
  <c r="C22" i="8" s="1"/>
  <c r="C28" i="33"/>
  <c r="B44" i="47"/>
  <c r="C20" i="8" s="1"/>
  <c r="C28" i="47"/>
  <c r="E28" i="46"/>
  <c r="B44" i="46"/>
  <c r="C19" i="8" s="1"/>
  <c r="E28" i="45"/>
  <c r="B44" i="45"/>
  <c r="C18" i="8" s="1"/>
  <c r="B44" i="44"/>
  <c r="C17" i="8" s="1"/>
  <c r="B44" i="43"/>
  <c r="C16" i="8" s="1"/>
  <c r="C28" i="43"/>
  <c r="B48" i="16"/>
  <c r="B44" i="15"/>
  <c r="C13" i="8" s="1"/>
  <c r="C28" i="15"/>
  <c r="C28" i="42"/>
  <c r="B44" i="42"/>
  <c r="C12" i="8" s="1"/>
  <c r="B44" i="41"/>
  <c r="C11" i="8" s="1"/>
  <c r="C28" i="41"/>
  <c r="B44" i="40"/>
  <c r="C10" i="8" s="1"/>
  <c r="C28" i="40"/>
  <c r="B44" i="39"/>
  <c r="C9" i="8" s="1"/>
  <c r="C28" i="39"/>
  <c r="B44" i="38"/>
  <c r="C8" i="8" s="1"/>
  <c r="C28" i="38"/>
  <c r="B44" i="37"/>
  <c r="C7" i="8" s="1"/>
  <c r="C28" i="37"/>
  <c r="E28" i="36"/>
  <c r="B44" i="36"/>
  <c r="C6" i="8" s="1"/>
  <c r="E28" i="35"/>
  <c r="B44" i="35"/>
  <c r="C5" i="8" s="1"/>
  <c r="B44" i="34"/>
  <c r="C4" i="8" s="1"/>
  <c r="C28" i="34"/>
  <c r="C26" i="34"/>
  <c r="E26" i="34"/>
  <c r="D26" i="34"/>
  <c r="B48" i="31" l="1"/>
  <c r="C15" i="8"/>
  <c r="C35" i="8" s="1"/>
  <c r="B48" i="48"/>
  <c r="B45" i="48"/>
  <c r="F23" i="8" s="1"/>
  <c r="B45" i="32"/>
  <c r="B49" i="32" s="1"/>
  <c r="B48" i="32"/>
  <c r="B49" i="31"/>
  <c r="F15" i="8"/>
  <c r="B49" i="54"/>
  <c r="F29" i="8"/>
  <c r="B49" i="16"/>
  <c r="F14" i="8"/>
  <c r="B45" i="59"/>
  <c r="B48" i="59"/>
  <c r="B45" i="58"/>
  <c r="B48" i="58"/>
  <c r="B45" i="57"/>
  <c r="B48" i="57"/>
  <c r="B45" i="56"/>
  <c r="B48" i="56"/>
  <c r="B45" i="55"/>
  <c r="B48" i="55"/>
  <c r="B45" i="53"/>
  <c r="B48" i="53"/>
  <c r="B45" i="52"/>
  <c r="B48" i="52"/>
  <c r="B45" i="51"/>
  <c r="B48" i="51"/>
  <c r="B45" i="50"/>
  <c r="B48" i="50"/>
  <c r="B45" i="49"/>
  <c r="B48" i="49"/>
  <c r="B45" i="33"/>
  <c r="B48" i="33"/>
  <c r="B45" i="47"/>
  <c r="B48" i="47"/>
  <c r="B45" i="46"/>
  <c r="B48" i="46"/>
  <c r="B45" i="45"/>
  <c r="B48" i="45"/>
  <c r="B45" i="44"/>
  <c r="B48" i="44"/>
  <c r="B45" i="43"/>
  <c r="B48" i="43"/>
  <c r="B45" i="15"/>
  <c r="B48" i="15"/>
  <c r="B45" i="42"/>
  <c r="B48" i="42"/>
  <c r="B45" i="41"/>
  <c r="B48" i="41"/>
  <c r="B45" i="40"/>
  <c r="B48" i="40"/>
  <c r="B45" i="39"/>
  <c r="B48" i="39"/>
  <c r="B45" i="38"/>
  <c r="B48" i="38"/>
  <c r="B45" i="37"/>
  <c r="B48" i="37"/>
  <c r="B45" i="36"/>
  <c r="B48" i="36"/>
  <c r="B45" i="35"/>
  <c r="B48" i="35"/>
  <c r="B45" i="34"/>
  <c r="F4" i="8" s="1"/>
  <c r="B48" i="34"/>
  <c r="B49" i="48" l="1"/>
  <c r="F21" i="8"/>
  <c r="B49" i="57"/>
  <c r="F32" i="8"/>
  <c r="B49" i="45"/>
  <c r="F18" i="8"/>
  <c r="B49" i="49"/>
  <c r="F24" i="8"/>
  <c r="B49" i="53"/>
  <c r="F28" i="8"/>
  <c r="B49" i="58"/>
  <c r="F33" i="8"/>
  <c r="B49" i="44"/>
  <c r="F17" i="8"/>
  <c r="B49" i="41"/>
  <c r="F11" i="8"/>
  <c r="B49" i="42"/>
  <c r="F12" i="8"/>
  <c r="B49" i="15"/>
  <c r="F13" i="8"/>
  <c r="B49" i="50"/>
  <c r="F25" i="8"/>
  <c r="B49" i="55"/>
  <c r="F30" i="8"/>
  <c r="B49" i="59"/>
  <c r="F34" i="8"/>
  <c r="H34" i="8" s="1"/>
  <c r="B49" i="52"/>
  <c r="F27" i="8"/>
  <c r="B49" i="38"/>
  <c r="F8" i="8"/>
  <c r="B49" i="35"/>
  <c r="F5" i="8"/>
  <c r="B49" i="46"/>
  <c r="F19" i="8"/>
  <c r="B49" i="36"/>
  <c r="F6" i="8"/>
  <c r="B49" i="40"/>
  <c r="F10" i="8"/>
  <c r="B49" i="43"/>
  <c r="F16" i="8"/>
  <c r="B49" i="47"/>
  <c r="F20" i="8"/>
  <c r="B49" i="51"/>
  <c r="F26" i="8"/>
  <c r="B49" i="56"/>
  <c r="F31" i="8"/>
  <c r="B49" i="37"/>
  <c r="F7" i="8"/>
  <c r="B49" i="33"/>
  <c r="F22" i="8"/>
  <c r="B49" i="39"/>
  <c r="F9" i="8"/>
  <c r="E34" i="8"/>
  <c r="F35" i="8" l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l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E29" i="8" l="1"/>
  <c r="E28" i="8"/>
  <c r="H28" i="8"/>
  <c r="E22" i="8"/>
  <c r="H22" i="8"/>
  <c r="H33" i="8" l="1"/>
  <c r="E33" i="8"/>
  <c r="H32" i="8"/>
  <c r="E32" i="8"/>
  <c r="E31" i="8"/>
  <c r="H31" i="8"/>
  <c r="H30" i="8"/>
  <c r="E30" i="8"/>
  <c r="H29" i="8"/>
  <c r="E25" i="8"/>
  <c r="H25" i="8"/>
  <c r="H24" i="8"/>
  <c r="E24" i="8"/>
  <c r="E21" i="8"/>
  <c r="H21" i="8"/>
  <c r="H20" i="8"/>
  <c r="E20" i="8"/>
  <c r="H23" i="8"/>
  <c r="E23" i="8"/>
  <c r="E16" i="8"/>
  <c r="H16" i="8"/>
  <c r="E27" i="8" l="1"/>
  <c r="H27" i="8"/>
  <c r="E26" i="8"/>
  <c r="H26" i="8"/>
  <c r="E11" i="8" l="1"/>
  <c r="H11" i="8"/>
  <c r="E9" i="8" l="1"/>
  <c r="H9" i="8"/>
  <c r="E8" i="8"/>
  <c r="H8" i="8"/>
  <c r="E7" i="8"/>
  <c r="H7" i="8"/>
  <c r="E5" i="8"/>
  <c r="H5" i="8"/>
  <c r="H18" i="8" l="1"/>
  <c r="E18" i="8"/>
  <c r="E12" i="8"/>
  <c r="H12" i="8"/>
  <c r="H19" i="8"/>
  <c r="E19" i="8"/>
  <c r="H17" i="8"/>
  <c r="E17" i="8"/>
  <c r="E6" i="8"/>
  <c r="H6" i="8"/>
  <c r="E10" i="8"/>
  <c r="H10" i="8"/>
  <c r="E15" i="8"/>
  <c r="H15" i="8"/>
  <c r="H13" i="8" l="1"/>
  <c r="E13" i="8"/>
  <c r="E14" i="8"/>
  <c r="H14" i="8"/>
  <c r="B47" i="34" l="1"/>
  <c r="B49" i="34" l="1"/>
  <c r="G4" i="8"/>
  <c r="E4" i="8" l="1"/>
  <c r="E35" i="8" s="1"/>
  <c r="H4" i="8"/>
  <c r="G35" i="8"/>
  <c r="H35" i="8" l="1"/>
</calcChain>
</file>

<file path=xl/sharedStrings.xml><?xml version="1.0" encoding="utf-8"?>
<sst xmlns="http://schemas.openxmlformats.org/spreadsheetml/2006/main" count="3251" uniqueCount="174">
  <si>
    <t>Price</t>
  </si>
  <si>
    <t>Total</t>
  </si>
  <si>
    <t>CSS</t>
  </si>
  <si>
    <t>ASC</t>
  </si>
  <si>
    <t>Wheeling Charges</t>
  </si>
  <si>
    <t>Solar RPO Charges</t>
  </si>
  <si>
    <t>IEX Transaction Charges</t>
  </si>
  <si>
    <t>NLDC Sched &amp; Oprn Charges</t>
  </si>
  <si>
    <t>STU Transmission Charges</t>
  </si>
  <si>
    <t>STU Scheduling</t>
  </si>
  <si>
    <t>IEX Payout</t>
  </si>
  <si>
    <t>Cost</t>
  </si>
  <si>
    <t>DAM</t>
  </si>
  <si>
    <t>Purchase</t>
  </si>
  <si>
    <t>Delivered</t>
  </si>
  <si>
    <t>Slot</t>
  </si>
  <si>
    <t>RTM</t>
  </si>
  <si>
    <t>Total Purchase</t>
  </si>
  <si>
    <t>EB Price</t>
  </si>
  <si>
    <t>Cost Saving</t>
  </si>
  <si>
    <t>DATE</t>
  </si>
  <si>
    <t>LINE LOSS %</t>
  </si>
  <si>
    <t>IEX Price</t>
  </si>
  <si>
    <t>Total Cost Saving</t>
  </si>
  <si>
    <t>IEX Price per Unit</t>
  </si>
  <si>
    <t>Cost Saving Per Unit</t>
  </si>
  <si>
    <t>CT</t>
  </si>
  <si>
    <t>Tata Power Bill</t>
  </si>
  <si>
    <t>C1</t>
  </si>
  <si>
    <t>C2</t>
  </si>
  <si>
    <t>C3</t>
  </si>
  <si>
    <t>C4</t>
  </si>
  <si>
    <t>C5</t>
  </si>
  <si>
    <t>Equivalent EB Price</t>
  </si>
  <si>
    <t>Equivalent EB Price per Unit</t>
  </si>
  <si>
    <t>EQUIVALENT EB PRICE TO THE UNITS PURCHASED FROM IEX</t>
  </si>
  <si>
    <t>Balance</t>
  </si>
  <si>
    <t>Morning peak</t>
  </si>
  <si>
    <t>Evening peak</t>
  </si>
  <si>
    <t>Normal hour</t>
  </si>
  <si>
    <t>Night Hour</t>
  </si>
  <si>
    <t>RTC</t>
  </si>
  <si>
    <t>TNEB Tariff</t>
  </si>
  <si>
    <t>E-Tax</t>
  </si>
  <si>
    <t>Total price/Unit</t>
  </si>
  <si>
    <t>GDAM</t>
  </si>
  <si>
    <t>G-DAM</t>
  </si>
  <si>
    <t>CTU</t>
  </si>
  <si>
    <t>STU</t>
  </si>
  <si>
    <t>Discom Losses</t>
  </si>
  <si>
    <t>Delivered @ Bus</t>
  </si>
  <si>
    <t>IEX Payout / Unit</t>
  </si>
  <si>
    <t>NLDC Application fee</t>
  </si>
  <si>
    <t>CTU Transmission Charges</t>
  </si>
  <si>
    <t>STU System Operating Charge</t>
  </si>
  <si>
    <t>TPTCL Margin</t>
  </si>
  <si>
    <t>Total Statutory Charges</t>
  </si>
  <si>
    <t>Non-Solar RPO Charges</t>
  </si>
  <si>
    <t>Total Units in kWh</t>
  </si>
  <si>
    <t>Unit Purchased in MWh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</si>
  <si>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</si>
  <si>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</si>
  <si>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</si>
  <si>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</si>
  <si>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</si>
  <si>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</si>
  <si>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</si>
  <si>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</si>
  <si>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</si>
  <si>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</si>
  <si>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</si>
  <si>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</si>
  <si>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</si>
  <si>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</si>
  <si>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</si>
  <si>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</si>
  <si>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</si>
  <si>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</si>
  <si>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</si>
  <si>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</si>
  <si>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</si>
  <si>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</si>
  <si>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</si>
  <si>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</si>
  <si>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</si>
  <si>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</si>
  <si>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</si>
  <si>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</si>
  <si>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</si>
  <si>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</si>
  <si>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</si>
  <si>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</si>
  <si>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</si>
  <si>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</si>
  <si>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</si>
  <si>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</si>
  <si>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</si>
  <si>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</si>
  <si>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</si>
  <si>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</si>
  <si>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</si>
  <si>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</si>
  <si>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</si>
  <si>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</si>
  <si>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</si>
  <si>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</si>
  <si>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</si>
  <si>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</si>
  <si>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</si>
  <si>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</si>
  <si>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</si>
  <si>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</si>
  <si>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</si>
  <si>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</si>
  <si>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</si>
  <si>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</si>
  <si>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</si>
  <si>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</si>
  <si>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</si>
  <si>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</si>
  <si>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</si>
  <si>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</si>
  <si>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</si>
  <si>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</si>
  <si>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</si>
  <si>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</si>
  <si>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</si>
  <si>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</si>
  <si>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</si>
  <si>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</si>
  <si>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</si>
  <si>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</si>
  <si>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</si>
  <si>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</si>
  <si>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</si>
  <si>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</si>
  <si>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</si>
  <si>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</si>
  <si>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</si>
  <si>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</si>
  <si>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</si>
  <si>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</si>
  <si>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</si>
  <si>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</si>
  <si>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</si>
  <si>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</si>
  <si>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</si>
  <si>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</si>
  <si>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</si>
  <si>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</si>
  <si>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</si>
  <si>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</si>
  <si>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</si>
  <si>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</si>
  <si>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</si>
  <si>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</si>
  <si>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C24</t>
  </si>
  <si>
    <t>EB Cost</t>
  </si>
  <si>
    <t>IEX Price / Unit</t>
  </si>
  <si>
    <t>EB Price / Unit</t>
  </si>
  <si>
    <t>Cost Savings Unit</t>
  </si>
  <si>
    <t>Total Cost incurred in IEX Purchase</t>
  </si>
  <si>
    <t>Cost per Unit incurred</t>
  </si>
  <si>
    <t>NLDC App Fee</t>
  </si>
  <si>
    <t>CTU Losses</t>
  </si>
  <si>
    <t>IEX POWER PURCHASE, DELIVERY AND COST SHEET</t>
  </si>
  <si>
    <t>IEX Allotment</t>
  </si>
  <si>
    <t>Consumption</t>
  </si>
  <si>
    <t>IEX Delivered</t>
  </si>
  <si>
    <t>TNEB Slot</t>
  </si>
  <si>
    <t>Date</t>
  </si>
  <si>
    <t>CTU Charges</t>
  </si>
  <si>
    <t>Trading Margin</t>
  </si>
  <si>
    <t>&lt;To be calculated Seperately&gt;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</si>
</sst>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-* #,##0.00_-;\-* #,##0.00_-;_-* &quot;-&quot;??_-;_-@_-"/>
    <numFmt numFmtId="167" formatCode="_ [$₹-4009]\ * #,##0.00_ ;_ [$₹-4009]\ * \-#,##0.00_ ;_ [$₹-4009]\ * &quot;-&quot;??_ ;_ @_ 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theme="0"/>
      <name val="Bookman Old Style"/>
      <family val="1"/>
    </font>
    <font>
      <sz val="10"/>
      <name val="Bookman Old Style"/>
      <family val="1"/>
    </font>
    <font>
      <b/>
      <sz val="11"/>
      <color rgb="FF000000"/>
      <name val="Bookman Old Style"/>
      <family val="1"/>
    </font>
    <font>
      <sz val="11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color rgb="FF000000"/>
      <name val="Bookman Old Style"/>
      <family val="1"/>
    </font>
    <font>
      <b/>
      <u/>
      <sz val="9"/>
      <color theme="1"/>
      <name val="Bookman Old Style"/>
      <family val="1"/>
    </font>
    <font>
      <sz val="9"/>
      <color theme="1"/>
      <name val="Bookman Old Style"/>
      <family val="1"/>
    </font>
    <font>
      <b/>
      <sz val="9"/>
      <color theme="1"/>
      <name val="Bookman Old Style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Bookman Old Style"/>
      <family val="1"/>
    </font>
    <font>
      <sz val="9"/>
      <color rgb="FF000000"/>
      <name val="Bookman Old Style"/>
      <family val="1"/>
    </font>
    <font>
      <sz val="9"/>
      <name val="Bookman Old Style"/>
      <family val="1"/>
    </font>
    <font>
      <sz val="9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2" fillId="0" borderId="0" xfId="0" applyFont="1"/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6" fontId="3" fillId="0" borderId="1" xfId="1" applyFont="1" applyBorder="1"/>
    <xf numFmtId="0" fontId="4" fillId="0" borderId="0" xfId="0" applyFont="1"/>
    <xf numFmtId="0" fontId="5" fillId="0" borderId="0" xfId="0" applyFont="1"/>
    <xf numFmtId="2" fontId="3" fillId="0" borderId="1" xfId="0" applyNumberFormat="1" applyFont="1" applyBorder="1" applyAlignment="1">
      <alignment horizontal="center" vertical="center"/>
    </xf>
    <xf numFmtId="166" fontId="2" fillId="0" borderId="0" xfId="1" applyFont="1"/>
    <xf numFmtId="166" fontId="3" fillId="0" borderId="1" xfId="1" applyFont="1" applyBorder="1" applyAlignment="1">
      <alignment horizontal="center" vertical="center"/>
    </xf>
    <xf numFmtId="166" fontId="2" fillId="0" borderId="1" xfId="1" applyFont="1" applyBorder="1"/>
    <xf numFmtId="165" fontId="2" fillId="0" borderId="0" xfId="0" applyNumberFormat="1" applyFont="1"/>
    <xf numFmtId="0" fontId="3" fillId="0" borderId="1" xfId="0" applyFont="1" applyBorder="1"/>
    <xf numFmtId="167" fontId="2" fillId="0" borderId="0" xfId="0" applyNumberFormat="1" applyFont="1"/>
    <xf numFmtId="2" fontId="0" fillId="0" borderId="12" xfId="0" applyNumberFormat="1" applyBorder="1" applyAlignment="1">
      <alignment horizontal="center" vertical="center"/>
    </xf>
    <xf numFmtId="166" fontId="2" fillId="0" borderId="0" xfId="1" applyFont="1" applyBorder="1" applyAlignment="1"/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166" fontId="2" fillId="0" borderId="1" xfId="1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9" fontId="7" fillId="0" borderId="5" xfId="0" applyNumberFormat="1" applyFont="1" applyBorder="1" applyAlignment="1" applyProtection="1">
      <alignment horizontal="center" vertical="center"/>
      <protection locked="0"/>
    </xf>
    <xf numFmtId="0" fontId="2" fillId="0" borderId="15" xfId="0" applyFont="1" applyBorder="1"/>
    <xf numFmtId="0" fontId="2" fillId="0" borderId="16" xfId="0" applyFont="1" applyBorder="1"/>
    <xf numFmtId="0" fontId="2" fillId="0" borderId="18" xfId="0" applyFont="1" applyBorder="1"/>
    <xf numFmtId="166" fontId="2" fillId="0" borderId="19" xfId="1" applyFont="1" applyBorder="1" applyAlignment="1"/>
    <xf numFmtId="166" fontId="2" fillId="2" borderId="1" xfId="1" applyFont="1" applyFill="1" applyBorder="1" applyAlignment="1"/>
    <xf numFmtId="166" fontId="2" fillId="2" borderId="1" xfId="1" applyFont="1" applyFill="1" applyBorder="1"/>
    <xf numFmtId="2" fontId="6" fillId="0" borderId="5" xfId="2" applyNumberFormat="1" applyFont="1" applyBorder="1" applyAlignment="1" applyProtection="1">
      <alignment horizontal="center" vertical="center"/>
      <protection locked="0"/>
    </xf>
    <xf numFmtId="2" fontId="6" fillId="0" borderId="5" xfId="0" applyNumberFormat="1" applyFont="1" applyBorder="1" applyAlignment="1" applyProtection="1">
      <alignment horizontal="center" vertical="center"/>
      <protection locked="0"/>
    </xf>
    <xf numFmtId="166" fontId="3" fillId="4" borderId="1" xfId="1" applyFont="1" applyFill="1" applyBorder="1" applyAlignment="1">
      <alignment horizontal="center" vertical="center"/>
    </xf>
    <xf numFmtId="166" fontId="3" fillId="5" borderId="1" xfId="1" applyFont="1" applyFill="1" applyBorder="1" applyAlignment="1">
      <alignment horizontal="center" vertical="center"/>
    </xf>
    <xf numFmtId="166" fontId="3" fillId="3" borderId="1" xfId="1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2" xfId="0" applyFont="1" applyBorder="1"/>
    <xf numFmtId="0" fontId="3" fillId="0" borderId="19" xfId="0" applyFont="1" applyBorder="1"/>
    <xf numFmtId="0" fontId="3" fillId="0" borderId="20" xfId="0" applyFont="1" applyBorder="1"/>
    <xf numFmtId="0" fontId="2" fillId="0" borderId="13" xfId="0" applyFont="1" applyBorder="1"/>
    <xf numFmtId="0" fontId="5" fillId="0" borderId="13" xfId="0" applyFont="1" applyBorder="1"/>
    <xf numFmtId="167" fontId="3" fillId="0" borderId="1" xfId="1" applyNumberFormat="1" applyFont="1" applyBorder="1"/>
    <xf numFmtId="0" fontId="3" fillId="0" borderId="1" xfId="0" applyFont="1" applyBorder="1" applyAlignment="1">
      <alignment horizontal="right" vertical="center"/>
    </xf>
    <xf numFmtId="165" fontId="2" fillId="0" borderId="13" xfId="0" applyNumberFormat="1" applyFont="1" applyBorder="1"/>
    <xf numFmtId="166" fontId="2" fillId="0" borderId="13" xfId="1" applyFont="1" applyBorder="1"/>
    <xf numFmtId="166" fontId="2" fillId="0" borderId="13" xfId="1" applyFont="1" applyBorder="1" applyAlignment="1"/>
    <xf numFmtId="10" fontId="2" fillId="0" borderId="0" xfId="2" applyNumberFormat="1" applyFont="1" applyBorder="1" applyAlignment="1"/>
    <xf numFmtId="10" fontId="2" fillId="0" borderId="0" xfId="0" applyNumberFormat="1" applyFont="1"/>
    <xf numFmtId="0" fontId="2" fillId="0" borderId="21" xfId="0" applyFont="1" applyBorder="1"/>
    <xf numFmtId="166" fontId="2" fillId="0" borderId="22" xfId="1" applyFont="1" applyBorder="1" applyAlignment="1"/>
    <xf numFmtId="166" fontId="2" fillId="0" borderId="22" xfId="1" applyFont="1" applyBorder="1"/>
    <xf numFmtId="0" fontId="2" fillId="0" borderId="19" xfId="0" applyFont="1" applyBorder="1"/>
    <xf numFmtId="167" fontId="2" fillId="0" borderId="19" xfId="1" applyNumberFormat="1" applyFont="1" applyBorder="1" applyAlignment="1"/>
    <xf numFmtId="167" fontId="2" fillId="0" borderId="20" xfId="1" applyNumberFormat="1" applyFont="1" applyBorder="1"/>
    <xf numFmtId="165" fontId="2" fillId="0" borderId="12" xfId="0" applyNumberFormat="1" applyFont="1" applyBorder="1" applyAlignment="1">
      <alignment horizontal="center" vertical="center"/>
    </xf>
    <xf numFmtId="166" fontId="2" fillId="2" borderId="13" xfId="1" applyFont="1" applyFill="1" applyBorder="1" applyAlignment="1"/>
    <xf numFmtId="167" fontId="2" fillId="0" borderId="1" xfId="1" applyNumberFormat="1" applyFont="1" applyBorder="1"/>
    <xf numFmtId="2" fontId="2" fillId="0" borderId="0" xfId="0" applyNumberFormat="1" applyFont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166" fontId="2" fillId="0" borderId="12" xfId="1" applyFont="1" applyBorder="1"/>
    <xf numFmtId="166" fontId="2" fillId="0" borderId="23" xfId="1" applyFont="1" applyBorder="1"/>
    <xf numFmtId="10" fontId="2" fillId="0" borderId="0" xfId="2" applyNumberFormat="1" applyFont="1"/>
    <xf numFmtId="10" fontId="2" fillId="0" borderId="12" xfId="0" applyNumberFormat="1" applyFont="1" applyBorder="1"/>
    <xf numFmtId="10" fontId="2" fillId="0" borderId="12" xfId="2" applyNumberFormat="1" applyFont="1" applyBorder="1"/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9" fontId="9" fillId="0" borderId="5" xfId="0" applyNumberFormat="1" applyFont="1" applyBorder="1" applyAlignment="1" applyProtection="1">
      <alignment horizontal="center" vertical="center"/>
      <protection locked="0"/>
    </xf>
    <xf numFmtId="2" fontId="8" fillId="0" borderId="5" xfId="2" applyNumberFormat="1" applyFont="1" applyBorder="1" applyAlignment="1" applyProtection="1">
      <alignment horizontal="center" vertical="center"/>
      <protection locked="0"/>
    </xf>
    <xf numFmtId="2" fontId="8" fillId="0" borderId="5" xfId="0" applyNumberFormat="1" applyFont="1" applyBorder="1" applyAlignment="1" applyProtection="1">
      <alignment horizontal="center" vertical="center"/>
      <protection locked="0"/>
    </xf>
    <xf numFmtId="166" fontId="2" fillId="0" borderId="0" xfId="0" applyNumberFormat="1" applyFont="1"/>
    <xf numFmtId="166" fontId="2" fillId="0" borderId="12" xfId="1" applyFont="1" applyBorder="1" applyAlignment="1"/>
    <xf numFmtId="166" fontId="2" fillId="0" borderId="23" xfId="1" applyFont="1" applyBorder="1" applyAlignment="1"/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" fontId="12" fillId="0" borderId="1" xfId="0" applyNumberFormat="1" applyFont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166" fontId="11" fillId="2" borderId="1" xfId="1" applyFont="1" applyFill="1" applyBorder="1" applyAlignment="1">
      <alignment horizontal="center" vertical="center"/>
    </xf>
    <xf numFmtId="166" fontId="12" fillId="0" borderId="1" xfId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166" fontId="12" fillId="0" borderId="1" xfId="1" applyFont="1" applyBorder="1" applyAlignment="1">
      <alignment horizontal="center"/>
    </xf>
    <xf numFmtId="0" fontId="12" fillId="0" borderId="0" xfId="0" applyFont="1"/>
    <xf numFmtId="2" fontId="12" fillId="0" borderId="0" xfId="0" applyNumberFormat="1" applyFont="1"/>
    <xf numFmtId="166" fontId="11" fillId="0" borderId="0" xfId="1" applyFont="1"/>
    <xf numFmtId="0" fontId="11" fillId="0" borderId="3" xfId="0" applyFont="1" applyBorder="1"/>
    <xf numFmtId="166" fontId="11" fillId="0" borderId="1" xfId="1" applyFont="1" applyBorder="1"/>
    <xf numFmtId="167" fontId="11" fillId="2" borderId="0" xfId="0" applyNumberFormat="1" applyFont="1" applyFill="1"/>
    <xf numFmtId="10" fontId="11" fillId="0" borderId="18" xfId="2" applyNumberFormat="1" applyFont="1" applyBorder="1" applyAlignment="1"/>
    <xf numFmtId="10" fontId="11" fillId="0" borderId="20" xfId="2" applyNumberFormat="1" applyFont="1" applyBorder="1" applyAlignment="1"/>
    <xf numFmtId="10" fontId="11" fillId="0" borderId="7" xfId="2" applyNumberFormat="1" applyFont="1" applyBorder="1" applyAlignment="1"/>
    <xf numFmtId="10" fontId="11" fillId="0" borderId="19" xfId="2" applyNumberFormat="1" applyFont="1" applyBorder="1" applyAlignment="1"/>
    <xf numFmtId="164" fontId="11" fillId="2" borderId="0" xfId="0" applyNumberFormat="1" applyFont="1" applyFill="1"/>
    <xf numFmtId="164" fontId="11" fillId="0" borderId="0" xfId="0" applyNumberFormat="1" applyFont="1"/>
    <xf numFmtId="164" fontId="11" fillId="0" borderId="18" xfId="2" applyNumberFormat="1" applyFont="1" applyBorder="1" applyAlignment="1"/>
    <xf numFmtId="164" fontId="11" fillId="0" borderId="20" xfId="2" applyNumberFormat="1" applyFont="1" applyBorder="1" applyAlignment="1"/>
    <xf numFmtId="164" fontId="11" fillId="0" borderId="7" xfId="2" applyNumberFormat="1" applyFont="1" applyBorder="1" applyAlignment="1"/>
    <xf numFmtId="164" fontId="11" fillId="0" borderId="19" xfId="2" applyNumberFormat="1" applyFont="1" applyBorder="1" applyAlignment="1"/>
    <xf numFmtId="167" fontId="11" fillId="0" borderId="20" xfId="0" applyNumberFormat="1" applyFont="1" applyBorder="1"/>
    <xf numFmtId="167" fontId="11" fillId="0" borderId="1" xfId="1" applyNumberFormat="1" applyFont="1" applyBorder="1"/>
    <xf numFmtId="167" fontId="11" fillId="0" borderId="3" xfId="1" applyNumberFormat="1" applyFont="1" applyBorder="1"/>
    <xf numFmtId="167" fontId="11" fillId="0" borderId="0" xfId="0" applyNumberFormat="1" applyFont="1"/>
    <xf numFmtId="167" fontId="11" fillId="0" borderId="12" xfId="0" applyNumberFormat="1" applyFont="1" applyBorder="1"/>
    <xf numFmtId="2" fontId="11" fillId="0" borderId="0" xfId="0" applyNumberFormat="1" applyFont="1" applyAlignment="1">
      <alignment horizontal="center" vertical="center"/>
    </xf>
    <xf numFmtId="166" fontId="11" fillId="0" borderId="12" xfId="1" applyFont="1" applyBorder="1" applyAlignment="1">
      <alignment horizontal="center" vertical="center"/>
    </xf>
    <xf numFmtId="166" fontId="11" fillId="0" borderId="6" xfId="1" applyFont="1" applyBorder="1"/>
    <xf numFmtId="166" fontId="11" fillId="0" borderId="13" xfId="1" applyFont="1" applyBorder="1"/>
    <xf numFmtId="166" fontId="11" fillId="0" borderId="14" xfId="1" applyFont="1" applyBorder="1"/>
    <xf numFmtId="2" fontId="13" fillId="0" borderId="12" xfId="0" applyNumberFormat="1" applyFont="1" applyBorder="1" applyAlignment="1">
      <alignment horizontal="center" vertical="center"/>
    </xf>
    <xf numFmtId="166" fontId="11" fillId="0" borderId="3" xfId="1" applyFont="1" applyBorder="1" applyAlignment="1">
      <alignment horizontal="center" vertical="center"/>
    </xf>
    <xf numFmtId="166" fontId="11" fillId="0" borderId="7" xfId="1" applyFont="1" applyBorder="1"/>
    <xf numFmtId="166" fontId="11" fillId="0" borderId="18" xfId="1" applyFont="1" applyBorder="1"/>
    <xf numFmtId="166" fontId="11" fillId="0" borderId="20" xfId="1" applyFont="1" applyBorder="1" applyAlignment="1">
      <alignment horizontal="center" vertical="center"/>
    </xf>
    <xf numFmtId="166" fontId="11" fillId="0" borderId="19" xfId="1" applyFont="1" applyBorder="1"/>
    <xf numFmtId="166" fontId="12" fillId="0" borderId="3" xfId="1" applyFont="1" applyBorder="1" applyAlignment="1">
      <alignment horizontal="center" vertical="center" wrapText="1"/>
    </xf>
    <xf numFmtId="166" fontId="11" fillId="0" borderId="1" xfId="1" applyFont="1" applyBorder="1" applyAlignment="1"/>
    <xf numFmtId="166" fontId="11" fillId="0" borderId="15" xfId="1" applyFont="1" applyBorder="1" applyAlignment="1"/>
    <xf numFmtId="166" fontId="12" fillId="0" borderId="17" xfId="1" applyFont="1" applyBorder="1" applyAlignment="1"/>
    <xf numFmtId="166" fontId="11" fillId="0" borderId="15" xfId="1" applyFont="1" applyBorder="1"/>
    <xf numFmtId="168" fontId="14" fillId="0" borderId="3" xfId="0" applyNumberFormat="1" applyFont="1" applyBorder="1" applyAlignment="1">
      <alignment horizontal="center" vertical="center" wrapText="1"/>
    </xf>
    <xf numFmtId="166" fontId="12" fillId="0" borderId="17" xfId="1" applyFont="1" applyBorder="1"/>
    <xf numFmtId="166" fontId="11" fillId="0" borderId="17" xfId="1" applyFont="1" applyBorder="1"/>
    <xf numFmtId="166" fontId="11" fillId="0" borderId="16" xfId="1" applyFont="1" applyBorder="1"/>
    <xf numFmtId="166" fontId="11" fillId="0" borderId="0" xfId="1" applyFont="1" applyFill="1" applyBorder="1" applyAlignment="1"/>
    <xf numFmtId="166" fontId="12" fillId="0" borderId="0" xfId="1" applyFont="1" applyFill="1" applyBorder="1" applyAlignment="1"/>
    <xf numFmtId="2" fontId="12" fillId="0" borderId="0" xfId="0" applyNumberFormat="1" applyFont="1" applyAlignment="1">
      <alignment horizontal="center" vertical="center"/>
    </xf>
    <xf numFmtId="166" fontId="11" fillId="0" borderId="0" xfId="1" applyFont="1" applyFill="1" applyBorder="1"/>
    <xf numFmtId="165" fontId="11" fillId="0" borderId="0" xfId="0" applyNumberFormat="1" applyFont="1"/>
    <xf numFmtId="0" fontId="11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center" vertical="center"/>
    </xf>
    <xf numFmtId="167" fontId="11" fillId="0" borderId="0" xfId="1" applyNumberFormat="1" applyFont="1" applyFill="1" applyBorder="1" applyAlignment="1"/>
    <xf numFmtId="167" fontId="11" fillId="0" borderId="0" xfId="1" applyNumberFormat="1" applyFont="1" applyFill="1" applyBorder="1"/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>
      <alignment vertical="center"/>
    </xf>
    <xf numFmtId="0" fontId="16" fillId="0" borderId="0" xfId="0" applyFont="1" applyAlignment="1" applyProtection="1">
      <alignment horizontal="center" vertical="center"/>
      <protection locked="0"/>
    </xf>
    <xf numFmtId="9" fontId="16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166" fontId="11" fillId="0" borderId="0" xfId="1" applyFont="1" applyFill="1" applyBorder="1" applyAlignment="1">
      <alignment horizontal="center" vertical="center"/>
    </xf>
    <xf numFmtId="2" fontId="15" fillId="0" borderId="0" xfId="2" applyNumberFormat="1" applyFont="1" applyFill="1" applyBorder="1" applyAlignment="1" applyProtection="1">
      <alignment horizontal="center" vertical="center"/>
      <protection locked="0"/>
    </xf>
    <xf numFmtId="2" fontId="15" fillId="0" borderId="0" xfId="0" applyNumberFormat="1" applyFont="1" applyAlignment="1" applyProtection="1">
      <alignment horizontal="center" vertical="center"/>
      <protection locked="0"/>
    </xf>
    <xf numFmtId="166" fontId="12" fillId="0" borderId="0" xfId="1" applyFont="1" applyFill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166" fontId="12" fillId="0" borderId="0" xfId="1" applyFont="1" applyFill="1" applyBorder="1"/>
    <xf numFmtId="167" fontId="12" fillId="0" borderId="0" xfId="1" applyNumberFormat="1" applyFont="1" applyFill="1" applyBorder="1"/>
    <xf numFmtId="0" fontId="17" fillId="0" borderId="0" xfId="0" applyFont="1"/>
    <xf numFmtId="0" fontId="18" fillId="0" borderId="0" xfId="0" applyFont="1"/>
    <xf numFmtId="16" fontId="11" fillId="0" borderId="0" xfId="0" applyNumberFormat="1" applyFont="1"/>
    <xf numFmtId="166" fontId="11" fillId="0" borderId="6" xfId="1" applyFont="1" applyBorder="1" applyAlignment="1">
      <alignment horizontal="center" vertical="center"/>
    </xf>
    <xf numFmtId="166" fontId="11" fillId="0" borderId="13" xfId="1" applyFont="1" applyBorder="1" applyAlignment="1">
      <alignment horizontal="center" vertical="center"/>
    </xf>
    <xf numFmtId="166" fontId="11" fillId="0" borderId="7" xfId="1" applyFont="1" applyBorder="1" applyAlignment="1">
      <alignment horizontal="center" vertical="center"/>
    </xf>
    <xf numFmtId="14" fontId="11" fillId="0" borderId="15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AA41-2461-4F49-9AC0-682C899E6765}">
  <dimension ref="A1:CQ103"/>
  <sheetViews>
    <sheetView zoomScaleNormal="100" workbookViewId="0">
      <pane xSplit="1" topLeftCell="BT1" activePane="topRight" state="frozen"/>
      <selection pane="topRight" sqref="A1:XFD1048576"/>
    </sheetView>
  </sheetViews>
  <sheetFormatPr defaultRowHeight="11.5" x14ac:dyDescent="0.25"/>
  <cols>
    <col min="1" max="1" width="15.26953125" style="79" bestFit="1" customWidth="1"/>
    <col min="2" max="2" width="4.7265625" style="79" bestFit="1" customWidth="1"/>
    <col min="3" max="3" width="6.6328125" style="79" bestFit="1" customWidth="1"/>
    <col min="4" max="4" width="12.6328125" style="79" bestFit="1" customWidth="1"/>
    <col min="5" max="5" width="11.54296875" style="79" bestFit="1" customWidth="1"/>
    <col min="6" max="6" width="6.6328125" style="79" bestFit="1" customWidth="1"/>
    <col min="7" max="7" width="12.6328125" style="79" bestFit="1" customWidth="1"/>
    <col min="8" max="8" width="5.1796875" style="79" bestFit="1" customWidth="1"/>
    <col min="9" max="9" width="6.6328125" style="79" bestFit="1" customWidth="1"/>
    <col min="10" max="11" width="12.6328125" style="79" bestFit="1" customWidth="1"/>
    <col min="12" max="12" width="6.6328125" style="79" bestFit="1" customWidth="1"/>
    <col min="13" max="14" width="12.6328125" style="79" bestFit="1" customWidth="1"/>
    <col min="15" max="15" width="6.6328125" style="79" bestFit="1" customWidth="1"/>
    <col min="16" max="17" width="12.6328125" style="79" bestFit="1" customWidth="1"/>
    <col min="18" max="18" width="6.7265625" style="79" bestFit="1" customWidth="1"/>
    <col min="19" max="20" width="12.6328125" style="79" bestFit="1" customWidth="1"/>
    <col min="21" max="21" width="6.6328125" style="79" bestFit="1" customWidth="1"/>
    <col min="22" max="23" width="12.6328125" style="79" bestFit="1" customWidth="1"/>
    <col min="24" max="24" width="6.6328125" style="79" bestFit="1" customWidth="1"/>
    <col min="25" max="26" width="12.6328125" style="79" bestFit="1" customWidth="1"/>
    <col min="27" max="27" width="6.6328125" style="79" bestFit="1" customWidth="1"/>
    <col min="28" max="29" width="12.6328125" style="79" bestFit="1" customWidth="1"/>
    <col min="30" max="30" width="6.6328125" style="79" bestFit="1" customWidth="1"/>
    <col min="31" max="31" width="12.6328125" style="79" bestFit="1" customWidth="1"/>
    <col min="32" max="32" width="5.1796875" style="79" bestFit="1" customWidth="1"/>
    <col min="33" max="33" width="6.6328125" style="79" bestFit="1" customWidth="1"/>
    <col min="34" max="35" width="12.6328125" style="79" bestFit="1" customWidth="1"/>
    <col min="36" max="36" width="6.6328125" style="79" bestFit="1" customWidth="1"/>
    <col min="37" max="38" width="12.6328125" style="79" bestFit="1" customWidth="1"/>
    <col min="39" max="39" width="6.6328125" style="79" bestFit="1" customWidth="1"/>
    <col min="40" max="40" width="12.6328125" style="79" bestFit="1" customWidth="1"/>
    <col min="41" max="41" width="11.54296875" style="79" bestFit="1" customWidth="1"/>
    <col min="42" max="42" width="6.6328125" style="79" bestFit="1" customWidth="1"/>
    <col min="43" max="44" width="12.6328125" style="79" bestFit="1" customWidth="1"/>
    <col min="45" max="45" width="6.6328125" style="79" bestFit="1" customWidth="1"/>
    <col min="46" max="47" width="12.6328125" style="79" bestFit="1" customWidth="1"/>
    <col min="48" max="48" width="6.6328125" style="79" bestFit="1" customWidth="1"/>
    <col min="49" max="49" width="12.6328125" style="79" bestFit="1" customWidth="1"/>
    <col min="50" max="50" width="11.54296875" style="79" bestFit="1" customWidth="1"/>
    <col min="51" max="51" width="6.6328125" style="79" bestFit="1" customWidth="1"/>
    <col min="52" max="53" width="12.6328125" style="79" bestFit="1" customWidth="1"/>
    <col min="54" max="54" width="6.6328125" style="79" bestFit="1" customWidth="1"/>
    <col min="55" max="56" width="12.6328125" style="79" bestFit="1" customWidth="1"/>
    <col min="57" max="57" width="6.6328125" style="79" bestFit="1" customWidth="1"/>
    <col min="58" max="59" width="12.6328125" style="79" bestFit="1" customWidth="1"/>
    <col min="60" max="60" width="6.6328125" style="79" bestFit="1" customWidth="1"/>
    <col min="61" max="61" width="12.6328125" style="79" bestFit="1" customWidth="1"/>
    <col min="62" max="62" width="11.54296875" style="79" bestFit="1" customWidth="1"/>
    <col min="63" max="63" width="6.6328125" style="79" bestFit="1" customWidth="1"/>
    <col min="64" max="65" width="12.6328125" style="79" bestFit="1" customWidth="1"/>
    <col min="66" max="66" width="6.6328125" style="79" bestFit="1" customWidth="1"/>
    <col min="67" max="68" width="12.6328125" style="79" bestFit="1" customWidth="1"/>
    <col min="69" max="69" width="6.6328125" style="79" bestFit="1" customWidth="1"/>
    <col min="70" max="71" width="12.6328125" style="79" bestFit="1" customWidth="1"/>
    <col min="72" max="72" width="6.6328125" style="79" bestFit="1" customWidth="1"/>
    <col min="73" max="73" width="12.6328125" style="79" bestFit="1" customWidth="1"/>
    <col min="74" max="74" width="11.54296875" style="79" bestFit="1" customWidth="1"/>
    <col min="75" max="75" width="6.6328125" style="79" bestFit="1" customWidth="1"/>
    <col min="76" max="76" width="12.6328125" style="79" bestFit="1" customWidth="1"/>
    <col min="77" max="77" width="5.1796875" style="79" bestFit="1" customWidth="1"/>
    <col min="78" max="78" width="6.7265625" style="79" bestFit="1" customWidth="1"/>
    <col min="79" max="79" width="12.6328125" style="79" bestFit="1" customWidth="1"/>
    <col min="80" max="80" width="5.1796875" style="79" bestFit="1" customWidth="1"/>
    <col min="81" max="81" width="6.7265625" style="79" bestFit="1" customWidth="1"/>
    <col min="82" max="82" width="12.6328125" style="79" bestFit="1" customWidth="1"/>
    <col min="83" max="83" width="5.1796875" style="79" bestFit="1" customWidth="1"/>
    <col min="84" max="84" width="6.7265625" style="79" bestFit="1" customWidth="1"/>
    <col min="85" max="85" width="12.6328125" style="79" bestFit="1" customWidth="1"/>
    <col min="86" max="86" width="5.1796875" style="79" bestFit="1" customWidth="1"/>
    <col min="87" max="87" width="6.7265625" style="79" bestFit="1" customWidth="1"/>
    <col min="88" max="88" width="12.6328125" style="79" bestFit="1" customWidth="1"/>
    <col min="89" max="89" width="5.1796875" style="79" bestFit="1" customWidth="1"/>
    <col min="90" max="90" width="6.7265625" style="79" bestFit="1" customWidth="1"/>
    <col min="91" max="91" width="12.6328125" style="79" bestFit="1" customWidth="1"/>
    <col min="92" max="92" width="6.54296875" style="92" bestFit="1" customWidth="1"/>
    <col min="93" max="93" width="6.6328125" style="79" bestFit="1" customWidth="1"/>
    <col min="94" max="94" width="5.26953125" style="79" bestFit="1" customWidth="1"/>
    <col min="95" max="95" width="5.1796875" style="79" bestFit="1" customWidth="1"/>
    <col min="96" max="16384" width="8.7265625" style="79"/>
  </cols>
  <sheetData>
    <row r="1" spans="1:95" x14ac:dyDescent="0.25">
      <c r="C1" s="161">
        <v>44896</v>
      </c>
      <c r="D1" s="162"/>
      <c r="E1" s="163"/>
      <c r="F1" s="161">
        <f>C1+1</f>
        <v>44897</v>
      </c>
      <c r="G1" s="162"/>
      <c r="H1" s="163"/>
      <c r="I1" s="161">
        <f>F1+1</f>
        <v>44898</v>
      </c>
      <c r="J1" s="162"/>
      <c r="K1" s="163"/>
      <c r="L1" s="161">
        <f>I1+1</f>
        <v>44899</v>
      </c>
      <c r="M1" s="162"/>
      <c r="N1" s="163"/>
      <c r="O1" s="161">
        <f>L1+1</f>
        <v>44900</v>
      </c>
      <c r="P1" s="162"/>
      <c r="Q1" s="163"/>
      <c r="R1" s="161">
        <f>O1+1</f>
        <v>44901</v>
      </c>
      <c r="S1" s="162"/>
      <c r="T1" s="163"/>
      <c r="U1" s="161">
        <f>R1+1</f>
        <v>44902</v>
      </c>
      <c r="V1" s="162"/>
      <c r="W1" s="163"/>
      <c r="X1" s="161">
        <f>U1+1</f>
        <v>44903</v>
      </c>
      <c r="Y1" s="162"/>
      <c r="Z1" s="163"/>
      <c r="AA1" s="161">
        <f>X1+1</f>
        <v>44904</v>
      </c>
      <c r="AB1" s="162"/>
      <c r="AC1" s="163"/>
      <c r="AD1" s="161">
        <f>AA1+1</f>
        <v>44905</v>
      </c>
      <c r="AE1" s="162"/>
      <c r="AF1" s="163"/>
      <c r="AG1" s="161">
        <f>AD1+1</f>
        <v>44906</v>
      </c>
      <c r="AH1" s="162"/>
      <c r="AI1" s="163"/>
      <c r="AJ1" s="161">
        <f>AG1+1</f>
        <v>44907</v>
      </c>
      <c r="AK1" s="162"/>
      <c r="AL1" s="163"/>
      <c r="AM1" s="161">
        <f>AJ1+1</f>
        <v>44908</v>
      </c>
      <c r="AN1" s="162"/>
      <c r="AO1" s="163"/>
      <c r="AP1" s="161">
        <f>AM1+1</f>
        <v>44909</v>
      </c>
      <c r="AQ1" s="162"/>
      <c r="AR1" s="163"/>
      <c r="AS1" s="161">
        <f>AP1+1</f>
        <v>44910</v>
      </c>
      <c r="AT1" s="162"/>
      <c r="AU1" s="163"/>
      <c r="AV1" s="161">
        <f>AS1+1</f>
        <v>44911</v>
      </c>
      <c r="AW1" s="162"/>
      <c r="AX1" s="163"/>
      <c r="AY1" s="161">
        <f>AV1+1</f>
        <v>44912</v>
      </c>
      <c r="AZ1" s="162"/>
      <c r="BA1" s="163"/>
      <c r="BB1" s="161">
        <f>AY1+1</f>
        <v>44913</v>
      </c>
      <c r="BC1" s="162"/>
      <c r="BD1" s="163"/>
      <c r="BE1" s="161">
        <f>BB1+1</f>
        <v>44914</v>
      </c>
      <c r="BF1" s="162"/>
      <c r="BG1" s="163"/>
      <c r="BH1" s="161">
        <f>BE1+1</f>
        <v>44915</v>
      </c>
      <c r="BI1" s="162"/>
      <c r="BJ1" s="163"/>
      <c r="BK1" s="161">
        <f>BH1+1</f>
        <v>44916</v>
      </c>
      <c r="BL1" s="162"/>
      <c r="BM1" s="163"/>
      <c r="BN1" s="161">
        <f>BK1+1</f>
        <v>44917</v>
      </c>
      <c r="BO1" s="162"/>
      <c r="BP1" s="163"/>
      <c r="BQ1" s="161">
        <f>BN1+1</f>
        <v>44918</v>
      </c>
      <c r="BR1" s="162"/>
      <c r="BS1" s="163"/>
      <c r="BT1" s="161">
        <f>BQ1+1</f>
        <v>44919</v>
      </c>
      <c r="BU1" s="162"/>
      <c r="BV1" s="163"/>
      <c r="BW1" s="161">
        <f>BT1+1</f>
        <v>44920</v>
      </c>
      <c r="BX1" s="162"/>
      <c r="BY1" s="163"/>
      <c r="BZ1" s="161">
        <f>BW1+1</f>
        <v>44921</v>
      </c>
      <c r="CA1" s="162"/>
      <c r="CB1" s="163"/>
      <c r="CC1" s="161">
        <f>BZ1+1</f>
        <v>44922</v>
      </c>
      <c r="CD1" s="162"/>
      <c r="CE1" s="163"/>
      <c r="CF1" s="161">
        <f>CC1+1</f>
        <v>44923</v>
      </c>
      <c r="CG1" s="162"/>
      <c r="CH1" s="163"/>
      <c r="CI1" s="161">
        <f>CF1+1</f>
        <v>44924</v>
      </c>
      <c r="CJ1" s="162"/>
      <c r="CK1" s="163"/>
      <c r="CL1" s="161">
        <f>CI1+1</f>
        <v>44925</v>
      </c>
      <c r="CM1" s="162"/>
      <c r="CN1" s="163"/>
      <c r="CO1" s="161">
        <f>CL1+1</f>
        <v>44926</v>
      </c>
      <c r="CP1" s="162"/>
      <c r="CQ1" s="163"/>
    </row>
    <row r="2" spans="1:95" x14ac:dyDescent="0.25">
      <c r="C2" s="88" t="s">
        <v>45</v>
      </c>
      <c r="D2" s="88" t="s">
        <v>12</v>
      </c>
      <c r="E2" s="88" t="s">
        <v>16</v>
      </c>
      <c r="F2" s="88" t="s">
        <v>45</v>
      </c>
      <c r="G2" s="88" t="s">
        <v>12</v>
      </c>
      <c r="H2" s="88" t="s">
        <v>16</v>
      </c>
      <c r="I2" s="88" t="s">
        <v>45</v>
      </c>
      <c r="J2" s="88" t="s">
        <v>12</v>
      </c>
      <c r="K2" s="88" t="s">
        <v>16</v>
      </c>
      <c r="L2" s="88" t="s">
        <v>45</v>
      </c>
      <c r="M2" s="88" t="s">
        <v>12</v>
      </c>
      <c r="N2" s="88" t="s">
        <v>16</v>
      </c>
      <c r="O2" s="88" t="s">
        <v>45</v>
      </c>
      <c r="P2" s="93" t="s">
        <v>12</v>
      </c>
      <c r="Q2" s="88" t="s">
        <v>16</v>
      </c>
      <c r="R2" s="88" t="s">
        <v>45</v>
      </c>
      <c r="S2" s="88" t="s">
        <v>12</v>
      </c>
      <c r="T2" s="88" t="s">
        <v>16</v>
      </c>
      <c r="U2" s="88" t="s">
        <v>45</v>
      </c>
      <c r="V2" s="88" t="s">
        <v>12</v>
      </c>
      <c r="W2" s="88" t="s">
        <v>16</v>
      </c>
      <c r="X2" s="88" t="s">
        <v>45</v>
      </c>
      <c r="Y2" s="88" t="s">
        <v>12</v>
      </c>
      <c r="Z2" s="88" t="s">
        <v>16</v>
      </c>
      <c r="AA2" s="88" t="s">
        <v>45</v>
      </c>
      <c r="AB2" s="88" t="s">
        <v>12</v>
      </c>
      <c r="AC2" s="88" t="s">
        <v>16</v>
      </c>
      <c r="AD2" s="88" t="s">
        <v>45</v>
      </c>
      <c r="AE2" s="88" t="s">
        <v>12</v>
      </c>
      <c r="AF2" s="88" t="s">
        <v>16</v>
      </c>
      <c r="AG2" s="88" t="s">
        <v>45</v>
      </c>
      <c r="AH2" s="88" t="s">
        <v>12</v>
      </c>
      <c r="AI2" s="88" t="s">
        <v>16</v>
      </c>
      <c r="AJ2" s="88" t="s">
        <v>45</v>
      </c>
      <c r="AK2" s="88" t="s">
        <v>12</v>
      </c>
      <c r="AL2" s="88" t="s">
        <v>16</v>
      </c>
      <c r="AM2" s="88" t="s">
        <v>45</v>
      </c>
      <c r="AN2" s="88" t="s">
        <v>12</v>
      </c>
      <c r="AO2" s="88" t="s">
        <v>16</v>
      </c>
      <c r="AP2" s="88" t="s">
        <v>45</v>
      </c>
      <c r="AQ2" s="88" t="s">
        <v>12</v>
      </c>
      <c r="AR2" s="88" t="s">
        <v>16</v>
      </c>
      <c r="AS2" s="88" t="s">
        <v>45</v>
      </c>
      <c r="AT2" s="88" t="s">
        <v>12</v>
      </c>
      <c r="AU2" s="88" t="s">
        <v>16</v>
      </c>
      <c r="AV2" s="88" t="s">
        <v>45</v>
      </c>
      <c r="AW2" s="88" t="s">
        <v>12</v>
      </c>
      <c r="AX2" s="88" t="s">
        <v>16</v>
      </c>
      <c r="AY2" s="88" t="s">
        <v>45</v>
      </c>
      <c r="AZ2" s="88" t="s">
        <v>12</v>
      </c>
      <c r="BA2" s="88" t="s">
        <v>16</v>
      </c>
      <c r="BB2" s="88" t="s">
        <v>45</v>
      </c>
      <c r="BC2" s="88" t="s">
        <v>12</v>
      </c>
      <c r="BD2" s="88" t="s">
        <v>16</v>
      </c>
      <c r="BE2" s="88" t="s">
        <v>45</v>
      </c>
      <c r="BF2" s="88" t="s">
        <v>12</v>
      </c>
      <c r="BG2" s="88" t="s">
        <v>16</v>
      </c>
      <c r="BH2" s="88" t="s">
        <v>45</v>
      </c>
      <c r="BI2" s="88" t="s">
        <v>12</v>
      </c>
      <c r="BJ2" s="88" t="s">
        <v>16</v>
      </c>
      <c r="BK2" s="88" t="s">
        <v>45</v>
      </c>
      <c r="BL2" s="88" t="s">
        <v>12</v>
      </c>
      <c r="BM2" s="88" t="s">
        <v>16</v>
      </c>
      <c r="BN2" s="88" t="s">
        <v>45</v>
      </c>
      <c r="BO2" s="88" t="s">
        <v>12</v>
      </c>
      <c r="BP2" s="88" t="s">
        <v>16</v>
      </c>
      <c r="BQ2" s="88" t="s">
        <v>45</v>
      </c>
      <c r="BR2" s="88" t="s">
        <v>12</v>
      </c>
      <c r="BS2" s="88" t="s">
        <v>16</v>
      </c>
      <c r="BT2" s="88" t="s">
        <v>45</v>
      </c>
      <c r="BU2" s="88" t="s">
        <v>12</v>
      </c>
      <c r="BV2" s="88" t="s">
        <v>16</v>
      </c>
      <c r="BW2" s="88" t="s">
        <v>45</v>
      </c>
      <c r="BX2" s="88" t="s">
        <v>12</v>
      </c>
      <c r="BY2" s="88" t="s">
        <v>16</v>
      </c>
      <c r="BZ2" s="88" t="s">
        <v>45</v>
      </c>
      <c r="CA2" s="88" t="s">
        <v>12</v>
      </c>
      <c r="CB2" s="88" t="s">
        <v>16</v>
      </c>
      <c r="CC2" s="88" t="s">
        <v>45</v>
      </c>
      <c r="CD2" s="88" t="s">
        <v>12</v>
      </c>
      <c r="CE2" s="88" t="s">
        <v>16</v>
      </c>
      <c r="CF2" s="88" t="s">
        <v>45</v>
      </c>
      <c r="CG2" s="88" t="s">
        <v>12</v>
      </c>
      <c r="CH2" s="88" t="s">
        <v>16</v>
      </c>
      <c r="CI2" s="88" t="s">
        <v>45</v>
      </c>
      <c r="CJ2" s="88" t="s">
        <v>12</v>
      </c>
      <c r="CK2" s="88" t="s">
        <v>16</v>
      </c>
      <c r="CL2" s="88" t="s">
        <v>45</v>
      </c>
      <c r="CM2" s="88" t="s">
        <v>12</v>
      </c>
      <c r="CN2" s="94" t="s">
        <v>16</v>
      </c>
      <c r="CO2" s="88" t="s">
        <v>45</v>
      </c>
      <c r="CP2" s="88" t="s">
        <v>12</v>
      </c>
      <c r="CQ2" s="88" t="s">
        <v>16</v>
      </c>
    </row>
    <row r="3" spans="1:95" x14ac:dyDescent="0.25">
      <c r="A3" s="95" t="s">
        <v>164</v>
      </c>
      <c r="C3" s="96"/>
      <c r="D3" s="96">
        <v>3.4299999999999997E-2</v>
      </c>
      <c r="E3" s="97"/>
      <c r="F3" s="96"/>
      <c r="G3" s="96">
        <v>3.4299999999999997E-2</v>
      </c>
      <c r="H3" s="97"/>
      <c r="I3" s="96"/>
      <c r="J3" s="96">
        <v>3.4299999999999997E-2</v>
      </c>
      <c r="K3" s="97"/>
      <c r="L3" s="96"/>
      <c r="M3" s="96">
        <v>3.4299999999999997E-2</v>
      </c>
      <c r="N3" s="97"/>
      <c r="O3" s="98"/>
      <c r="P3" s="99">
        <v>3.61E-2</v>
      </c>
      <c r="Q3" s="97"/>
      <c r="R3" s="96">
        <v>3.61E-2</v>
      </c>
      <c r="S3" s="96">
        <v>3.61E-2</v>
      </c>
      <c r="T3" s="97"/>
      <c r="U3" s="96"/>
      <c r="V3" s="99">
        <v>3.61E-2</v>
      </c>
      <c r="W3" s="97">
        <v>3.61E-2</v>
      </c>
      <c r="X3" s="96"/>
      <c r="Y3" s="99">
        <v>3.61E-2</v>
      </c>
      <c r="Z3" s="97">
        <v>3.61E-2</v>
      </c>
      <c r="AA3" s="96"/>
      <c r="AB3" s="99">
        <v>3.61E-2</v>
      </c>
      <c r="AC3" s="97"/>
      <c r="AD3" s="96"/>
      <c r="AE3" s="99">
        <v>3.61E-2</v>
      </c>
      <c r="AF3" s="97"/>
      <c r="AG3" s="96"/>
      <c r="AH3" s="99">
        <v>3.61E-2</v>
      </c>
      <c r="AI3" s="97"/>
      <c r="AJ3" s="96"/>
      <c r="AK3" s="99">
        <v>3.8199999999999998E-2</v>
      </c>
      <c r="AL3" s="97"/>
      <c r="AM3" s="96"/>
      <c r="AN3" s="99">
        <v>3.8199999999999998E-2</v>
      </c>
      <c r="AO3" s="97"/>
      <c r="AP3" s="96"/>
      <c r="AQ3" s="99">
        <v>3.8199999999999998E-2</v>
      </c>
      <c r="AR3" s="97"/>
      <c r="AS3" s="96"/>
      <c r="AT3" s="99">
        <v>3.8199999999999998E-2</v>
      </c>
      <c r="AU3" s="97"/>
      <c r="AV3" s="96"/>
      <c r="AW3" s="99">
        <v>3.8199999999999998E-2</v>
      </c>
      <c r="AX3" s="97"/>
      <c r="AY3" s="96"/>
      <c r="AZ3" s="99">
        <v>3.8199999999999998E-2</v>
      </c>
      <c r="BA3" s="97"/>
      <c r="BB3" s="96"/>
      <c r="BC3" s="99">
        <v>3.8199999999999998E-2</v>
      </c>
      <c r="BD3" s="97"/>
      <c r="BE3" s="96"/>
      <c r="BF3" s="99">
        <v>4.1799999999999997E-2</v>
      </c>
      <c r="BG3" s="97"/>
      <c r="BH3" s="96"/>
      <c r="BI3" s="99">
        <v>4.1799999999999997E-2</v>
      </c>
      <c r="BJ3" s="97"/>
      <c r="BK3" s="96"/>
      <c r="BL3" s="99">
        <v>4.1799999999999997E-2</v>
      </c>
      <c r="BM3" s="97"/>
      <c r="BN3" s="96"/>
      <c r="BO3" s="99">
        <v>4.1799999999999997E-2</v>
      </c>
      <c r="BP3" s="97"/>
      <c r="BQ3" s="96"/>
      <c r="BR3" s="99">
        <v>4.1799999999999997E-2</v>
      </c>
      <c r="BS3" s="97"/>
      <c r="BT3" s="96"/>
      <c r="BU3" s="99">
        <v>4.1799999999999997E-2</v>
      </c>
      <c r="BV3" s="97"/>
      <c r="BW3" s="96"/>
      <c r="BX3" s="99">
        <v>4.1799999999999997E-2</v>
      </c>
      <c r="BY3" s="97"/>
      <c r="BZ3" s="96"/>
      <c r="CA3" s="99">
        <v>4.19E-2</v>
      </c>
      <c r="CB3" s="97"/>
      <c r="CC3" s="96"/>
      <c r="CD3" s="99">
        <v>4.19E-2</v>
      </c>
      <c r="CE3" s="97"/>
      <c r="CF3" s="96"/>
      <c r="CG3" s="99">
        <v>4.19E-2</v>
      </c>
      <c r="CH3" s="97"/>
      <c r="CI3" s="96"/>
      <c r="CJ3" s="99">
        <v>4.19E-2</v>
      </c>
      <c r="CK3" s="97"/>
      <c r="CL3" s="96"/>
      <c r="CM3" s="99">
        <v>4.19E-2</v>
      </c>
      <c r="CN3" s="97"/>
      <c r="CO3" s="96"/>
      <c r="CP3" s="99"/>
      <c r="CQ3" s="97"/>
    </row>
    <row r="4" spans="1:95" s="101" customFormat="1" x14ac:dyDescent="0.25">
      <c r="A4" s="100" t="s">
        <v>171</v>
      </c>
      <c r="C4" s="102"/>
      <c r="D4" s="102">
        <v>457.6</v>
      </c>
      <c r="E4" s="103"/>
      <c r="F4" s="102"/>
      <c r="G4" s="102">
        <v>457.6</v>
      </c>
      <c r="H4" s="103"/>
      <c r="I4" s="102"/>
      <c r="J4" s="102">
        <v>457.6</v>
      </c>
      <c r="K4" s="103"/>
      <c r="L4" s="102"/>
      <c r="M4" s="102">
        <v>457.6</v>
      </c>
      <c r="N4" s="103"/>
      <c r="O4" s="104"/>
      <c r="P4" s="102">
        <v>457.6</v>
      </c>
      <c r="Q4" s="103"/>
      <c r="R4" s="102"/>
      <c r="S4" s="102">
        <v>457.6</v>
      </c>
      <c r="T4" s="103"/>
      <c r="U4" s="102"/>
      <c r="V4" s="102">
        <v>457.6</v>
      </c>
      <c r="W4" s="103"/>
      <c r="X4" s="102"/>
      <c r="Y4" s="105">
        <v>457.6</v>
      </c>
      <c r="Z4" s="103"/>
      <c r="AA4" s="102"/>
      <c r="AB4" s="105">
        <v>457.6</v>
      </c>
      <c r="AC4" s="103"/>
      <c r="AD4" s="102"/>
      <c r="AE4" s="105">
        <v>457.6</v>
      </c>
      <c r="AF4" s="103"/>
      <c r="AG4" s="102"/>
      <c r="AH4" s="105">
        <v>457.6</v>
      </c>
      <c r="AI4" s="103"/>
      <c r="AJ4" s="102"/>
      <c r="AK4" s="105">
        <v>457.6</v>
      </c>
      <c r="AL4" s="103"/>
      <c r="AM4" s="102"/>
      <c r="AN4" s="105">
        <v>457.6</v>
      </c>
      <c r="AO4" s="103"/>
      <c r="AP4" s="102"/>
      <c r="AQ4" s="105">
        <v>457.6</v>
      </c>
      <c r="AR4" s="103"/>
      <c r="AS4" s="102"/>
      <c r="AT4" s="105">
        <v>457.6</v>
      </c>
      <c r="AU4" s="103"/>
      <c r="AV4" s="102"/>
      <c r="AW4" s="105">
        <v>457.6</v>
      </c>
      <c r="AX4" s="103"/>
      <c r="AY4" s="102"/>
      <c r="AZ4" s="105"/>
      <c r="BA4" s="103"/>
      <c r="BB4" s="102"/>
      <c r="BC4" s="105"/>
      <c r="BD4" s="103"/>
      <c r="BE4" s="102"/>
      <c r="BF4" s="105"/>
      <c r="BG4" s="103"/>
      <c r="BH4" s="102"/>
      <c r="BI4" s="105"/>
      <c r="BJ4" s="103"/>
      <c r="BK4" s="102"/>
      <c r="BL4" s="105"/>
      <c r="BM4" s="103"/>
      <c r="BN4" s="102"/>
      <c r="BO4" s="105">
        <v>457.6</v>
      </c>
      <c r="BP4" s="103"/>
      <c r="BQ4" s="102"/>
      <c r="BR4" s="105">
        <v>457.6</v>
      </c>
      <c r="BS4" s="103"/>
      <c r="BT4" s="102"/>
      <c r="BU4" s="105">
        <v>457.6</v>
      </c>
      <c r="BV4" s="103"/>
      <c r="BW4" s="102"/>
      <c r="BX4" s="105">
        <v>457.6</v>
      </c>
      <c r="BY4" s="103"/>
      <c r="BZ4" s="102"/>
      <c r="CA4" s="105">
        <v>457.6</v>
      </c>
      <c r="CB4" s="103"/>
      <c r="CC4" s="102"/>
      <c r="CD4" s="105">
        <v>484.8</v>
      </c>
      <c r="CE4" s="103"/>
      <c r="CF4" s="102"/>
      <c r="CG4" s="105">
        <v>484.8</v>
      </c>
      <c r="CH4" s="103"/>
      <c r="CI4" s="102"/>
      <c r="CJ4" s="105">
        <v>484.8</v>
      </c>
      <c r="CK4" s="103"/>
      <c r="CL4" s="102"/>
      <c r="CM4" s="105">
        <v>484.8</v>
      </c>
      <c r="CN4" s="103"/>
      <c r="CO4" s="102"/>
      <c r="CP4" s="105"/>
      <c r="CQ4" s="103"/>
    </row>
    <row r="5" spans="1:95" s="109" customFormat="1" x14ac:dyDescent="0.25">
      <c r="A5" s="95" t="s">
        <v>11</v>
      </c>
      <c r="B5" s="106"/>
      <c r="C5" s="107"/>
      <c r="D5" s="107">
        <v>45070.355000000003</v>
      </c>
      <c r="E5" s="107">
        <v>3103.11</v>
      </c>
      <c r="F5" s="107"/>
      <c r="G5" s="107">
        <v>46896.22</v>
      </c>
      <c r="H5" s="107"/>
      <c r="I5" s="107"/>
      <c r="J5" s="107">
        <v>38325.914499999999</v>
      </c>
      <c r="K5" s="107">
        <v>14307.76</v>
      </c>
      <c r="L5" s="107"/>
      <c r="M5" s="107">
        <v>83092.959700000007</v>
      </c>
      <c r="N5" s="107">
        <v>12749.83</v>
      </c>
      <c r="O5" s="107"/>
      <c r="P5" s="108">
        <v>39837.9683</v>
      </c>
      <c r="Q5" s="107">
        <v>16147.49</v>
      </c>
      <c r="R5" s="107"/>
      <c r="S5" s="107">
        <v>54907.276899999997</v>
      </c>
      <c r="T5" s="107">
        <v>13002.64</v>
      </c>
      <c r="U5" s="107"/>
      <c r="V5" s="107">
        <v>33736.897900000004</v>
      </c>
      <c r="W5" s="107">
        <v>22760.98</v>
      </c>
      <c r="X5" s="107"/>
      <c r="Y5" s="107">
        <v>51549.744200000001</v>
      </c>
      <c r="Z5" s="107">
        <v>32714.22</v>
      </c>
      <c r="AA5" s="107"/>
      <c r="AB5" s="107">
        <v>55906.486799999999</v>
      </c>
      <c r="AC5" s="107">
        <v>28235.38</v>
      </c>
      <c r="AD5" s="107"/>
      <c r="AE5" s="107">
        <v>70274.660699999993</v>
      </c>
      <c r="AF5" s="107"/>
      <c r="AG5" s="107"/>
      <c r="AH5" s="107">
        <v>98538.320999999996</v>
      </c>
      <c r="AI5" s="107">
        <v>27909.59</v>
      </c>
      <c r="AJ5" s="107"/>
      <c r="AK5" s="107">
        <v>63830.988299999997</v>
      </c>
      <c r="AL5" s="107">
        <v>24341.29</v>
      </c>
      <c r="AM5" s="107"/>
      <c r="AN5" s="107">
        <v>64149.078600000001</v>
      </c>
      <c r="AO5" s="107">
        <v>8811.5300000000007</v>
      </c>
      <c r="AP5" s="107"/>
      <c r="AQ5" s="107">
        <v>43154.523300000001</v>
      </c>
      <c r="AR5" s="107">
        <v>24088.83</v>
      </c>
      <c r="AS5" s="107"/>
      <c r="AT5" s="107">
        <v>49631.554700000001</v>
      </c>
      <c r="AU5" s="107">
        <v>12125.1</v>
      </c>
      <c r="AV5" s="107"/>
      <c r="AW5" s="107">
        <v>28682.670600000001</v>
      </c>
      <c r="AX5" s="107">
        <v>4361.8</v>
      </c>
      <c r="AY5" s="107"/>
      <c r="AZ5" s="107">
        <v>29034.377700000001</v>
      </c>
      <c r="BA5" s="107">
        <v>11232.94</v>
      </c>
      <c r="BB5" s="107"/>
      <c r="BC5" s="107">
        <v>44876.773099999999</v>
      </c>
      <c r="BD5" s="107">
        <v>36010.11</v>
      </c>
      <c r="BE5" s="107"/>
      <c r="BF5" s="107">
        <v>23821.926899999999</v>
      </c>
      <c r="BG5" s="107">
        <v>18669.45</v>
      </c>
      <c r="BH5" s="107"/>
      <c r="BI5" s="107">
        <v>24262.558499999999</v>
      </c>
      <c r="BJ5" s="107">
        <v>8641.65</v>
      </c>
      <c r="BK5" s="107"/>
      <c r="BL5" s="107">
        <v>27772.5749</v>
      </c>
      <c r="BM5" s="107">
        <v>35135.35</v>
      </c>
      <c r="BN5" s="107"/>
      <c r="BO5" s="107">
        <v>28861.726200000001</v>
      </c>
      <c r="BP5" s="107">
        <v>19716.8</v>
      </c>
      <c r="BQ5" s="107"/>
      <c r="BR5" s="107">
        <v>26822.5838</v>
      </c>
      <c r="BS5" s="107">
        <v>15252.89</v>
      </c>
      <c r="BT5" s="107"/>
      <c r="BU5" s="107">
        <v>49873.604099999997</v>
      </c>
      <c r="BV5" s="107">
        <v>8203.36</v>
      </c>
      <c r="BW5" s="107"/>
      <c r="BX5" s="107">
        <v>48944.948799999998</v>
      </c>
      <c r="BY5" s="107"/>
      <c r="BZ5" s="107"/>
      <c r="CA5" s="107">
        <v>23502.102200000001</v>
      </c>
      <c r="CB5" s="107"/>
      <c r="CC5" s="107"/>
      <c r="CD5" s="107">
        <v>26051.971799999999</v>
      </c>
      <c r="CE5" s="107"/>
      <c r="CF5" s="107"/>
      <c r="CG5" s="107">
        <v>31764.6682</v>
      </c>
      <c r="CH5" s="107"/>
      <c r="CI5" s="107"/>
      <c r="CJ5" s="107">
        <v>21325.1338</v>
      </c>
      <c r="CK5" s="107"/>
      <c r="CL5" s="107"/>
      <c r="CM5" s="107">
        <v>30980.828600000001</v>
      </c>
      <c r="CN5" s="107"/>
      <c r="CO5" s="107"/>
      <c r="CP5" s="107"/>
      <c r="CQ5" s="107"/>
    </row>
    <row r="6" spans="1:95" s="109" customFormat="1" x14ac:dyDescent="0.25">
      <c r="A6" s="95" t="s">
        <v>163</v>
      </c>
      <c r="B6" s="110"/>
      <c r="C6" s="107"/>
      <c r="D6" s="107">
        <v>9.09</v>
      </c>
      <c r="E6" s="107">
        <v>13.7</v>
      </c>
      <c r="F6" s="107"/>
      <c r="G6" s="107">
        <v>8.91</v>
      </c>
      <c r="H6" s="107"/>
      <c r="I6" s="107"/>
      <c r="J6" s="107">
        <v>8.99</v>
      </c>
      <c r="K6" s="107">
        <v>13.19</v>
      </c>
      <c r="L6" s="107"/>
      <c r="M6" s="107">
        <v>7.67</v>
      </c>
      <c r="N6" s="107">
        <v>14.29</v>
      </c>
      <c r="O6" s="107"/>
      <c r="P6" s="108">
        <v>8.18</v>
      </c>
      <c r="Q6" s="107">
        <v>13.55</v>
      </c>
      <c r="R6" s="107"/>
      <c r="S6" s="108">
        <v>8.35</v>
      </c>
      <c r="T6" s="107">
        <v>12.53</v>
      </c>
      <c r="U6" s="107"/>
      <c r="V6" s="108">
        <v>8.61</v>
      </c>
      <c r="W6" s="107">
        <v>12.89</v>
      </c>
      <c r="X6" s="107"/>
      <c r="Y6" s="107">
        <v>8.61</v>
      </c>
      <c r="Z6" s="107">
        <v>12.53</v>
      </c>
      <c r="AA6" s="107"/>
      <c r="AB6" s="107">
        <v>8.2799999999999994</v>
      </c>
      <c r="AC6" s="107">
        <v>12.32</v>
      </c>
      <c r="AD6" s="107"/>
      <c r="AE6" s="107">
        <v>7.91</v>
      </c>
      <c r="AF6" s="107"/>
      <c r="AG6" s="107"/>
      <c r="AH6" s="107">
        <v>7.36</v>
      </c>
      <c r="AI6" s="107">
        <v>12.92</v>
      </c>
      <c r="AJ6" s="107"/>
      <c r="AK6" s="107">
        <v>7.44</v>
      </c>
      <c r="AL6" s="107">
        <v>11.74</v>
      </c>
      <c r="AM6" s="107"/>
      <c r="AN6" s="107">
        <v>7.69</v>
      </c>
      <c r="AO6" s="107">
        <v>12.56</v>
      </c>
      <c r="AP6" s="107"/>
      <c r="AQ6" s="107">
        <v>7.62</v>
      </c>
      <c r="AR6" s="107">
        <v>12.92</v>
      </c>
      <c r="AS6" s="107"/>
      <c r="AT6" s="107">
        <v>8.0399999999999991</v>
      </c>
      <c r="AU6" s="107">
        <v>15.43</v>
      </c>
      <c r="AV6" s="107"/>
      <c r="AW6" s="107">
        <v>8.59</v>
      </c>
      <c r="AX6" s="107">
        <v>24.39</v>
      </c>
      <c r="AY6" s="107"/>
      <c r="AZ6" s="107">
        <v>8.5</v>
      </c>
      <c r="BA6" s="107">
        <v>18.66</v>
      </c>
      <c r="BB6" s="107"/>
      <c r="BC6" s="107">
        <v>8.42</v>
      </c>
      <c r="BD6" s="107">
        <v>14.16</v>
      </c>
      <c r="BE6" s="107"/>
      <c r="BF6" s="107">
        <v>8.25</v>
      </c>
      <c r="BG6" s="107">
        <v>13.66</v>
      </c>
      <c r="BH6" s="107"/>
      <c r="BI6" s="107">
        <v>8.2200000000000006</v>
      </c>
      <c r="BJ6" s="107">
        <v>12.92</v>
      </c>
      <c r="BK6" s="107"/>
      <c r="BL6" s="107">
        <v>7.74</v>
      </c>
      <c r="BM6" s="107">
        <v>13.16</v>
      </c>
      <c r="BN6" s="107"/>
      <c r="BO6" s="107">
        <v>8.1300000000000008</v>
      </c>
      <c r="BP6" s="107">
        <v>12.53</v>
      </c>
      <c r="BQ6" s="107"/>
      <c r="BR6" s="107">
        <v>7.69</v>
      </c>
      <c r="BS6" s="107">
        <v>11.79</v>
      </c>
      <c r="BT6" s="107"/>
      <c r="BU6" s="107">
        <v>7.42</v>
      </c>
      <c r="BV6" s="107">
        <v>13.02</v>
      </c>
      <c r="BW6" s="107"/>
      <c r="BX6" s="107">
        <v>7.22</v>
      </c>
      <c r="BY6" s="107"/>
      <c r="BZ6" s="107"/>
      <c r="CA6" s="107">
        <v>7.65</v>
      </c>
      <c r="CB6" s="107"/>
      <c r="CC6" s="107"/>
      <c r="CD6" s="107">
        <v>7.41</v>
      </c>
      <c r="CE6" s="107"/>
      <c r="CF6" s="107"/>
      <c r="CG6" s="107">
        <v>7.36</v>
      </c>
      <c r="CH6" s="107"/>
      <c r="CI6" s="107"/>
      <c r="CJ6" s="107">
        <v>7.58</v>
      </c>
      <c r="CK6" s="107"/>
      <c r="CL6" s="107"/>
      <c r="CM6" s="107">
        <v>8.16</v>
      </c>
      <c r="CN6" s="107"/>
      <c r="CO6" s="107"/>
      <c r="CP6" s="107"/>
      <c r="CQ6" s="107"/>
    </row>
    <row r="7" spans="1:95" ht="12" x14ac:dyDescent="0.25">
      <c r="A7" s="111" t="s">
        <v>60</v>
      </c>
      <c r="B7" s="158" t="s">
        <v>32</v>
      </c>
      <c r="C7" s="112"/>
      <c r="D7" s="112">
        <v>1</v>
      </c>
      <c r="E7" s="112">
        <v>0</v>
      </c>
      <c r="F7" s="112"/>
      <c r="G7" s="112">
        <v>1</v>
      </c>
      <c r="H7" s="112"/>
      <c r="I7" s="112"/>
      <c r="J7" s="112">
        <v>0</v>
      </c>
      <c r="K7" s="112">
        <v>0</v>
      </c>
      <c r="L7" s="113"/>
      <c r="M7" s="112">
        <v>0.5</v>
      </c>
      <c r="N7" s="112">
        <v>0</v>
      </c>
      <c r="O7" s="114"/>
      <c r="P7" s="112">
        <v>0.5</v>
      </c>
      <c r="Q7" s="112">
        <v>0</v>
      </c>
      <c r="R7" s="114"/>
      <c r="S7" s="112">
        <v>0.5</v>
      </c>
      <c r="T7" s="112">
        <v>0</v>
      </c>
      <c r="U7" s="114"/>
      <c r="V7" s="112">
        <v>0.5</v>
      </c>
      <c r="W7" s="112">
        <v>0</v>
      </c>
      <c r="X7" s="115"/>
      <c r="Y7" s="112">
        <v>0.5</v>
      </c>
      <c r="Z7" s="112">
        <v>0</v>
      </c>
      <c r="AA7" s="115"/>
      <c r="AB7" s="112">
        <v>0.5</v>
      </c>
      <c r="AC7" s="112">
        <v>0</v>
      </c>
      <c r="AD7" s="115"/>
      <c r="AE7" s="112">
        <v>0.5</v>
      </c>
      <c r="AF7" s="112"/>
      <c r="AG7" s="115"/>
      <c r="AH7" s="112">
        <v>0.5</v>
      </c>
      <c r="AI7" s="112">
        <v>0</v>
      </c>
      <c r="AJ7" s="115"/>
      <c r="AK7" s="112">
        <v>0.5</v>
      </c>
      <c r="AL7" s="112">
        <v>0</v>
      </c>
      <c r="AM7" s="115"/>
      <c r="AN7" s="112">
        <v>0.5</v>
      </c>
      <c r="AO7" s="112">
        <v>0</v>
      </c>
      <c r="AP7" s="115"/>
      <c r="AQ7" s="112">
        <v>0.3</v>
      </c>
      <c r="AR7" s="112">
        <v>0.3</v>
      </c>
      <c r="AS7" s="115"/>
      <c r="AT7" s="112">
        <v>0.3</v>
      </c>
      <c r="AU7" s="112">
        <v>0</v>
      </c>
      <c r="AV7" s="115"/>
      <c r="AW7" s="112">
        <v>0.3</v>
      </c>
      <c r="AX7" s="112">
        <v>0</v>
      </c>
      <c r="AY7" s="115"/>
      <c r="AZ7" s="112">
        <v>0.3</v>
      </c>
      <c r="BA7" s="112">
        <v>0</v>
      </c>
      <c r="BB7" s="115"/>
      <c r="BC7" s="112">
        <v>0.3</v>
      </c>
      <c r="BD7" s="112">
        <v>0</v>
      </c>
      <c r="BE7" s="115"/>
      <c r="BF7" s="112">
        <v>0.3</v>
      </c>
      <c r="BG7" s="112">
        <v>0</v>
      </c>
      <c r="BH7" s="115"/>
      <c r="BI7" s="112">
        <v>0.3</v>
      </c>
      <c r="BJ7" s="112">
        <v>0</v>
      </c>
      <c r="BK7" s="115"/>
      <c r="BL7" s="112">
        <v>0.3</v>
      </c>
      <c r="BM7" s="112">
        <v>0.3</v>
      </c>
      <c r="BN7" s="115"/>
      <c r="BO7" s="112">
        <v>0.3</v>
      </c>
      <c r="BP7" s="112">
        <v>0.3</v>
      </c>
      <c r="BQ7" s="115"/>
      <c r="BR7" s="112">
        <v>0.3</v>
      </c>
      <c r="BS7" s="112">
        <v>0.3</v>
      </c>
      <c r="BT7" s="115"/>
      <c r="BU7" s="112">
        <v>0.3</v>
      </c>
      <c r="BV7" s="112">
        <v>0.3</v>
      </c>
      <c r="BW7" s="115"/>
      <c r="BX7" s="112">
        <v>0.3</v>
      </c>
      <c r="BY7" s="112"/>
      <c r="BZ7" s="115"/>
      <c r="CA7" s="116">
        <v>0.3</v>
      </c>
      <c r="CB7" s="112"/>
      <c r="CC7" s="115"/>
      <c r="CD7" s="116">
        <v>0.3</v>
      </c>
      <c r="CE7" s="112"/>
      <c r="CF7" s="115"/>
      <c r="CG7" s="116">
        <v>0.3</v>
      </c>
      <c r="CH7" s="112"/>
      <c r="CI7" s="115"/>
      <c r="CJ7" s="116">
        <v>0.3</v>
      </c>
      <c r="CK7" s="112"/>
      <c r="CL7" s="115"/>
      <c r="CM7" s="116">
        <v>0.3</v>
      </c>
      <c r="CN7" s="112"/>
      <c r="CO7" s="115"/>
      <c r="CP7" s="92"/>
      <c r="CQ7" s="112"/>
    </row>
    <row r="8" spans="1:95" ht="12" x14ac:dyDescent="0.25">
      <c r="A8" s="111" t="s">
        <v>61</v>
      </c>
      <c r="B8" s="159"/>
      <c r="C8" s="112"/>
      <c r="D8" s="112">
        <v>1</v>
      </c>
      <c r="E8" s="112">
        <v>0</v>
      </c>
      <c r="F8" s="112"/>
      <c r="G8" s="112">
        <v>1</v>
      </c>
      <c r="H8" s="112"/>
      <c r="I8" s="112"/>
      <c r="J8" s="112">
        <v>0.5</v>
      </c>
      <c r="K8" s="112">
        <v>0</v>
      </c>
      <c r="L8" s="114"/>
      <c r="M8" s="112">
        <v>0.5</v>
      </c>
      <c r="N8" s="112">
        <v>0</v>
      </c>
      <c r="O8" s="114"/>
      <c r="P8" s="112">
        <v>0.5</v>
      </c>
      <c r="Q8" s="112">
        <v>0</v>
      </c>
      <c r="R8" s="114"/>
      <c r="S8" s="112">
        <v>0.5</v>
      </c>
      <c r="T8" s="112">
        <v>0</v>
      </c>
      <c r="U8" s="114"/>
      <c r="V8" s="112">
        <v>0.5</v>
      </c>
      <c r="W8" s="112">
        <v>0</v>
      </c>
      <c r="X8" s="115"/>
      <c r="Y8" s="112">
        <v>0.5</v>
      </c>
      <c r="Z8" s="112">
        <v>0</v>
      </c>
      <c r="AA8" s="115"/>
      <c r="AB8" s="112">
        <v>0.5</v>
      </c>
      <c r="AC8" s="112">
        <v>0</v>
      </c>
      <c r="AD8" s="115"/>
      <c r="AE8" s="112">
        <v>0.5</v>
      </c>
      <c r="AF8" s="112"/>
      <c r="AG8" s="115"/>
      <c r="AH8" s="112">
        <v>0.5</v>
      </c>
      <c r="AI8" s="112">
        <v>0</v>
      </c>
      <c r="AJ8" s="115"/>
      <c r="AK8" s="112">
        <v>0.5</v>
      </c>
      <c r="AL8" s="112">
        <v>0</v>
      </c>
      <c r="AM8" s="115"/>
      <c r="AN8" s="112">
        <v>0.5</v>
      </c>
      <c r="AO8" s="112">
        <v>0</v>
      </c>
      <c r="AP8" s="115"/>
      <c r="AQ8" s="112">
        <v>0.3</v>
      </c>
      <c r="AR8" s="112">
        <v>0.3</v>
      </c>
      <c r="AS8" s="115"/>
      <c r="AT8" s="112">
        <v>0.3</v>
      </c>
      <c r="AU8" s="112">
        <v>0</v>
      </c>
      <c r="AV8" s="115"/>
      <c r="AW8" s="112">
        <v>0.3</v>
      </c>
      <c r="AX8" s="112">
        <v>0</v>
      </c>
      <c r="AY8" s="115"/>
      <c r="AZ8" s="112">
        <v>0.3</v>
      </c>
      <c r="BA8" s="112">
        <v>0.3</v>
      </c>
      <c r="BB8" s="115"/>
      <c r="BC8" s="112">
        <v>0.3</v>
      </c>
      <c r="BD8" s="112">
        <v>0</v>
      </c>
      <c r="BE8" s="115"/>
      <c r="BF8" s="112">
        <v>0.3</v>
      </c>
      <c r="BG8" s="112">
        <v>0</v>
      </c>
      <c r="BH8" s="115"/>
      <c r="BI8" s="112">
        <v>0.3</v>
      </c>
      <c r="BJ8" s="112">
        <v>0</v>
      </c>
      <c r="BK8" s="115"/>
      <c r="BL8" s="112">
        <v>0.3</v>
      </c>
      <c r="BM8" s="112">
        <v>0.3</v>
      </c>
      <c r="BN8" s="115"/>
      <c r="BO8" s="112">
        <v>0.3</v>
      </c>
      <c r="BP8" s="112">
        <v>0.3</v>
      </c>
      <c r="BQ8" s="115"/>
      <c r="BR8" s="112">
        <v>0.3</v>
      </c>
      <c r="BS8" s="112">
        <v>0.3</v>
      </c>
      <c r="BT8" s="115"/>
      <c r="BU8" s="112">
        <v>0.3</v>
      </c>
      <c r="BV8" s="112">
        <v>0.3</v>
      </c>
      <c r="BW8" s="115"/>
      <c r="BX8" s="112">
        <v>0.3</v>
      </c>
      <c r="BY8" s="112"/>
      <c r="BZ8" s="115"/>
      <c r="CA8" s="116">
        <v>0.3</v>
      </c>
      <c r="CB8" s="112"/>
      <c r="CC8" s="115"/>
      <c r="CD8" s="116">
        <v>0.3</v>
      </c>
      <c r="CE8" s="112"/>
      <c r="CF8" s="115"/>
      <c r="CG8" s="116">
        <v>0.3</v>
      </c>
      <c r="CH8" s="112"/>
      <c r="CI8" s="115"/>
      <c r="CJ8" s="116">
        <v>0.3</v>
      </c>
      <c r="CK8" s="112"/>
      <c r="CL8" s="115"/>
      <c r="CM8" s="116">
        <v>0.3</v>
      </c>
      <c r="CN8" s="112"/>
      <c r="CO8" s="115"/>
      <c r="CP8" s="92"/>
      <c r="CQ8" s="112"/>
    </row>
    <row r="9" spans="1:95" ht="12" x14ac:dyDescent="0.25">
      <c r="A9" s="111" t="s">
        <v>62</v>
      </c>
      <c r="B9" s="159"/>
      <c r="C9" s="112"/>
      <c r="D9" s="112">
        <v>1</v>
      </c>
      <c r="E9" s="112">
        <v>0</v>
      </c>
      <c r="F9" s="112"/>
      <c r="G9" s="112">
        <v>1</v>
      </c>
      <c r="H9" s="112"/>
      <c r="I9" s="112"/>
      <c r="J9" s="112">
        <v>0.5</v>
      </c>
      <c r="K9" s="112">
        <v>0</v>
      </c>
      <c r="L9" s="114"/>
      <c r="M9" s="112">
        <v>0.5</v>
      </c>
      <c r="N9" s="112">
        <v>0</v>
      </c>
      <c r="O9" s="114"/>
      <c r="P9" s="112">
        <v>0.5</v>
      </c>
      <c r="Q9" s="112">
        <v>0</v>
      </c>
      <c r="R9" s="114"/>
      <c r="S9" s="112">
        <v>0.5</v>
      </c>
      <c r="T9" s="112">
        <v>0</v>
      </c>
      <c r="U9" s="114"/>
      <c r="V9" s="112">
        <v>0.5</v>
      </c>
      <c r="W9" s="112">
        <v>0</v>
      </c>
      <c r="X9" s="115"/>
      <c r="Y9" s="112">
        <v>0.5</v>
      </c>
      <c r="Z9" s="112">
        <v>0</v>
      </c>
      <c r="AA9" s="115"/>
      <c r="AB9" s="112">
        <v>0.5</v>
      </c>
      <c r="AC9" s="112">
        <v>0</v>
      </c>
      <c r="AD9" s="115"/>
      <c r="AE9" s="112">
        <v>0.5</v>
      </c>
      <c r="AF9" s="112"/>
      <c r="AG9" s="115"/>
      <c r="AH9" s="112">
        <v>0.5</v>
      </c>
      <c r="AI9" s="112">
        <v>0</v>
      </c>
      <c r="AJ9" s="115"/>
      <c r="AK9" s="112">
        <v>0.5</v>
      </c>
      <c r="AL9" s="112">
        <v>0</v>
      </c>
      <c r="AM9" s="115"/>
      <c r="AN9" s="112">
        <v>0.5</v>
      </c>
      <c r="AO9" s="112">
        <v>0</v>
      </c>
      <c r="AP9" s="115"/>
      <c r="AQ9" s="112">
        <v>0.3</v>
      </c>
      <c r="AR9" s="112">
        <v>0.3</v>
      </c>
      <c r="AS9" s="115"/>
      <c r="AT9" s="112">
        <v>0.3</v>
      </c>
      <c r="AU9" s="112">
        <v>0</v>
      </c>
      <c r="AV9" s="115"/>
      <c r="AW9" s="112">
        <v>0.3</v>
      </c>
      <c r="AX9" s="112">
        <v>0</v>
      </c>
      <c r="AY9" s="115"/>
      <c r="AZ9" s="112">
        <v>0.3</v>
      </c>
      <c r="BA9" s="112">
        <v>0.3</v>
      </c>
      <c r="BB9" s="115"/>
      <c r="BC9" s="112">
        <v>0.3</v>
      </c>
      <c r="BD9" s="112">
        <v>0</v>
      </c>
      <c r="BE9" s="115"/>
      <c r="BF9" s="112">
        <v>0.3</v>
      </c>
      <c r="BG9" s="112">
        <v>0</v>
      </c>
      <c r="BH9" s="115"/>
      <c r="BI9" s="112">
        <v>0.3</v>
      </c>
      <c r="BJ9" s="112">
        <v>0</v>
      </c>
      <c r="BK9" s="115"/>
      <c r="BL9" s="112">
        <v>0.3</v>
      </c>
      <c r="BM9" s="112">
        <v>0</v>
      </c>
      <c r="BN9" s="115"/>
      <c r="BO9" s="112">
        <v>0.3</v>
      </c>
      <c r="BP9" s="112">
        <v>0</v>
      </c>
      <c r="BQ9" s="115"/>
      <c r="BR9" s="112">
        <v>0.3</v>
      </c>
      <c r="BS9" s="112">
        <v>0.3</v>
      </c>
      <c r="BT9" s="115"/>
      <c r="BU9" s="112">
        <v>0.3</v>
      </c>
      <c r="BV9" s="112">
        <v>0.3</v>
      </c>
      <c r="BW9" s="115"/>
      <c r="BX9" s="112">
        <v>0.3</v>
      </c>
      <c r="BY9" s="112"/>
      <c r="BZ9" s="115"/>
      <c r="CA9" s="116">
        <v>0.3</v>
      </c>
      <c r="CB9" s="112"/>
      <c r="CC9" s="115"/>
      <c r="CD9" s="116">
        <v>0.3</v>
      </c>
      <c r="CE9" s="112"/>
      <c r="CF9" s="115"/>
      <c r="CG9" s="116">
        <v>0.3</v>
      </c>
      <c r="CH9" s="112"/>
      <c r="CI9" s="115"/>
      <c r="CJ9" s="116">
        <v>0.3</v>
      </c>
      <c r="CK9" s="112"/>
      <c r="CL9" s="115"/>
      <c r="CM9" s="116">
        <v>0.3</v>
      </c>
      <c r="CN9" s="112"/>
      <c r="CO9" s="115"/>
      <c r="CP9" s="92"/>
      <c r="CQ9" s="112"/>
    </row>
    <row r="10" spans="1:95" ht="12" x14ac:dyDescent="0.25">
      <c r="A10" s="111" t="s">
        <v>63</v>
      </c>
      <c r="B10" s="159"/>
      <c r="C10" s="112"/>
      <c r="D10" s="112">
        <v>1</v>
      </c>
      <c r="E10" s="112">
        <v>0</v>
      </c>
      <c r="F10" s="112"/>
      <c r="G10" s="112">
        <v>1</v>
      </c>
      <c r="H10" s="112"/>
      <c r="I10" s="112"/>
      <c r="J10" s="112">
        <v>0.5</v>
      </c>
      <c r="K10" s="112">
        <v>0</v>
      </c>
      <c r="L10" s="114"/>
      <c r="M10" s="112">
        <v>0.5</v>
      </c>
      <c r="N10" s="112">
        <v>0</v>
      </c>
      <c r="O10" s="114"/>
      <c r="P10" s="112">
        <v>0.5</v>
      </c>
      <c r="Q10" s="112">
        <v>0</v>
      </c>
      <c r="R10" s="114"/>
      <c r="S10" s="112">
        <v>0.5</v>
      </c>
      <c r="T10" s="112">
        <v>0</v>
      </c>
      <c r="U10" s="114"/>
      <c r="V10" s="112">
        <v>0.5</v>
      </c>
      <c r="W10" s="112">
        <v>0</v>
      </c>
      <c r="X10" s="115"/>
      <c r="Y10" s="112">
        <v>0.5</v>
      </c>
      <c r="Z10" s="112">
        <v>0</v>
      </c>
      <c r="AA10" s="115"/>
      <c r="AB10" s="112">
        <v>0.5</v>
      </c>
      <c r="AC10" s="112">
        <v>0</v>
      </c>
      <c r="AD10" s="115"/>
      <c r="AE10" s="112">
        <v>0.5</v>
      </c>
      <c r="AF10" s="112"/>
      <c r="AG10" s="115"/>
      <c r="AH10" s="112">
        <v>0.5</v>
      </c>
      <c r="AI10" s="112">
        <v>0</v>
      </c>
      <c r="AJ10" s="115"/>
      <c r="AK10" s="112">
        <v>0.5</v>
      </c>
      <c r="AL10" s="112">
        <v>0</v>
      </c>
      <c r="AM10" s="115"/>
      <c r="AN10" s="112">
        <v>0.5</v>
      </c>
      <c r="AO10" s="112">
        <v>0</v>
      </c>
      <c r="AP10" s="115"/>
      <c r="AQ10" s="112">
        <v>0.3</v>
      </c>
      <c r="AR10" s="112">
        <v>0.3</v>
      </c>
      <c r="AS10" s="115"/>
      <c r="AT10" s="112">
        <v>0.3</v>
      </c>
      <c r="AU10" s="112">
        <v>0</v>
      </c>
      <c r="AV10" s="115"/>
      <c r="AW10" s="112">
        <v>0.3</v>
      </c>
      <c r="AX10" s="112">
        <v>0.3</v>
      </c>
      <c r="AY10" s="115"/>
      <c r="AZ10" s="112">
        <v>0.3</v>
      </c>
      <c r="BA10" s="112">
        <v>0.3</v>
      </c>
      <c r="BB10" s="115"/>
      <c r="BC10" s="112">
        <v>0.3</v>
      </c>
      <c r="BD10" s="112">
        <v>0</v>
      </c>
      <c r="BE10" s="115"/>
      <c r="BF10" s="112">
        <v>0.3</v>
      </c>
      <c r="BG10" s="112">
        <v>0</v>
      </c>
      <c r="BH10" s="115"/>
      <c r="BI10" s="112">
        <v>0.3</v>
      </c>
      <c r="BJ10" s="112">
        <v>0</v>
      </c>
      <c r="BK10" s="115"/>
      <c r="BL10" s="112">
        <v>0.3</v>
      </c>
      <c r="BM10" s="112">
        <v>0</v>
      </c>
      <c r="BN10" s="115"/>
      <c r="BO10" s="112">
        <v>0.3</v>
      </c>
      <c r="BP10" s="112">
        <v>0</v>
      </c>
      <c r="BQ10" s="115"/>
      <c r="BR10" s="112">
        <v>0.3</v>
      </c>
      <c r="BS10" s="112">
        <v>0.3</v>
      </c>
      <c r="BT10" s="115"/>
      <c r="BU10" s="112">
        <v>0.3</v>
      </c>
      <c r="BV10" s="112">
        <v>0.3</v>
      </c>
      <c r="BW10" s="115"/>
      <c r="BX10" s="112">
        <v>0.3</v>
      </c>
      <c r="BY10" s="112"/>
      <c r="BZ10" s="115"/>
      <c r="CA10" s="116">
        <v>0.3</v>
      </c>
      <c r="CB10" s="112"/>
      <c r="CC10" s="115"/>
      <c r="CD10" s="116">
        <v>0.3</v>
      </c>
      <c r="CE10" s="112"/>
      <c r="CF10" s="115"/>
      <c r="CG10" s="116">
        <v>0.3</v>
      </c>
      <c r="CH10" s="112"/>
      <c r="CI10" s="115"/>
      <c r="CJ10" s="116">
        <v>0.3</v>
      </c>
      <c r="CK10" s="112"/>
      <c r="CL10" s="115"/>
      <c r="CM10" s="116">
        <v>0.3</v>
      </c>
      <c r="CN10" s="112"/>
      <c r="CO10" s="115"/>
      <c r="CP10" s="92"/>
      <c r="CQ10" s="112"/>
    </row>
    <row r="11" spans="1:95" ht="12" x14ac:dyDescent="0.25">
      <c r="A11" s="111" t="s">
        <v>64</v>
      </c>
      <c r="B11" s="159"/>
      <c r="C11" s="112"/>
      <c r="D11" s="112">
        <v>1</v>
      </c>
      <c r="E11" s="112">
        <v>0</v>
      </c>
      <c r="F11" s="112"/>
      <c r="G11" s="112">
        <v>1</v>
      </c>
      <c r="H11" s="112"/>
      <c r="I11" s="112"/>
      <c r="J11" s="112">
        <v>0.5</v>
      </c>
      <c r="K11" s="112">
        <v>0</v>
      </c>
      <c r="L11" s="114"/>
      <c r="M11" s="112">
        <v>0.5</v>
      </c>
      <c r="N11" s="112">
        <v>0</v>
      </c>
      <c r="O11" s="114"/>
      <c r="P11" s="112">
        <v>0.5</v>
      </c>
      <c r="Q11" s="112">
        <v>0</v>
      </c>
      <c r="R11" s="114"/>
      <c r="S11" s="112">
        <v>0.5</v>
      </c>
      <c r="T11" s="112">
        <v>0</v>
      </c>
      <c r="U11" s="114"/>
      <c r="V11" s="112">
        <v>0.5</v>
      </c>
      <c r="W11" s="112">
        <v>0</v>
      </c>
      <c r="X11" s="115"/>
      <c r="Y11" s="112">
        <v>0.5</v>
      </c>
      <c r="Z11" s="112">
        <v>0</v>
      </c>
      <c r="AA11" s="115"/>
      <c r="AB11" s="112">
        <v>0.5</v>
      </c>
      <c r="AC11" s="112">
        <v>0</v>
      </c>
      <c r="AD11" s="115"/>
      <c r="AE11" s="112">
        <v>0.5</v>
      </c>
      <c r="AF11" s="112"/>
      <c r="AG11" s="115"/>
      <c r="AH11" s="112">
        <v>0.5</v>
      </c>
      <c r="AI11" s="112">
        <v>0</v>
      </c>
      <c r="AJ11" s="115"/>
      <c r="AK11" s="112">
        <v>0.5</v>
      </c>
      <c r="AL11" s="112">
        <v>0</v>
      </c>
      <c r="AM11" s="115"/>
      <c r="AN11" s="112">
        <v>0.5</v>
      </c>
      <c r="AO11" s="112">
        <v>0</v>
      </c>
      <c r="AP11" s="115"/>
      <c r="AQ11" s="112">
        <v>0.3</v>
      </c>
      <c r="AR11" s="112">
        <v>0.3</v>
      </c>
      <c r="AS11" s="115"/>
      <c r="AT11" s="112">
        <v>0.3</v>
      </c>
      <c r="AU11" s="112">
        <v>0.2</v>
      </c>
      <c r="AV11" s="115"/>
      <c r="AW11" s="112">
        <v>0.3</v>
      </c>
      <c r="AX11" s="112">
        <v>0.3</v>
      </c>
      <c r="AY11" s="115"/>
      <c r="AZ11" s="112">
        <v>0.3</v>
      </c>
      <c r="BA11" s="112">
        <v>0</v>
      </c>
      <c r="BB11" s="115"/>
      <c r="BC11" s="112">
        <v>0.3</v>
      </c>
      <c r="BD11" s="112">
        <v>0.3</v>
      </c>
      <c r="BE11" s="115"/>
      <c r="BF11" s="112">
        <v>0.3</v>
      </c>
      <c r="BG11" s="112">
        <v>0</v>
      </c>
      <c r="BH11" s="115"/>
      <c r="BI11" s="112">
        <v>0.3</v>
      </c>
      <c r="BJ11" s="112">
        <v>0</v>
      </c>
      <c r="BK11" s="115"/>
      <c r="BL11" s="112">
        <v>0.3</v>
      </c>
      <c r="BM11" s="112">
        <v>0.3</v>
      </c>
      <c r="BN11" s="115"/>
      <c r="BO11" s="112">
        <v>0.3</v>
      </c>
      <c r="BP11" s="112">
        <v>0.3</v>
      </c>
      <c r="BQ11" s="115"/>
      <c r="BR11" s="112">
        <v>0.3</v>
      </c>
      <c r="BS11" s="112">
        <v>0.3</v>
      </c>
      <c r="BT11" s="115"/>
      <c r="BU11" s="112">
        <v>0.3</v>
      </c>
      <c r="BV11" s="112">
        <v>0.3</v>
      </c>
      <c r="BW11" s="115"/>
      <c r="BX11" s="112">
        <v>0.3</v>
      </c>
      <c r="BY11" s="112"/>
      <c r="BZ11" s="115"/>
      <c r="CA11" s="116">
        <v>0.3</v>
      </c>
      <c r="CB11" s="112"/>
      <c r="CC11" s="115"/>
      <c r="CD11" s="116">
        <v>0.3</v>
      </c>
      <c r="CE11" s="112"/>
      <c r="CF11" s="115"/>
      <c r="CG11" s="116">
        <v>0.3</v>
      </c>
      <c r="CH11" s="112"/>
      <c r="CI11" s="115"/>
      <c r="CJ11" s="116">
        <v>0.3</v>
      </c>
      <c r="CK11" s="112"/>
      <c r="CL11" s="115"/>
      <c r="CM11" s="116">
        <v>0.3</v>
      </c>
      <c r="CN11" s="112"/>
      <c r="CO11" s="115"/>
      <c r="CP11" s="92"/>
      <c r="CQ11" s="112"/>
    </row>
    <row r="12" spans="1:95" ht="12" x14ac:dyDescent="0.25">
      <c r="A12" s="111" t="s">
        <v>65</v>
      </c>
      <c r="B12" s="159"/>
      <c r="C12" s="112"/>
      <c r="D12" s="112">
        <v>1</v>
      </c>
      <c r="E12" s="112">
        <v>0</v>
      </c>
      <c r="F12" s="112"/>
      <c r="G12" s="112">
        <v>1</v>
      </c>
      <c r="H12" s="112"/>
      <c r="I12" s="112"/>
      <c r="J12" s="112">
        <v>0.5</v>
      </c>
      <c r="K12" s="112">
        <v>0</v>
      </c>
      <c r="L12" s="114"/>
      <c r="M12" s="112">
        <v>0.5</v>
      </c>
      <c r="N12" s="112">
        <v>0</v>
      </c>
      <c r="O12" s="114"/>
      <c r="P12" s="112">
        <v>0.5</v>
      </c>
      <c r="Q12" s="112">
        <v>0</v>
      </c>
      <c r="R12" s="114"/>
      <c r="S12" s="112">
        <v>0.5</v>
      </c>
      <c r="T12" s="112">
        <v>0</v>
      </c>
      <c r="U12" s="114"/>
      <c r="V12" s="112">
        <v>0.5</v>
      </c>
      <c r="W12" s="112">
        <v>0</v>
      </c>
      <c r="X12" s="115"/>
      <c r="Y12" s="112">
        <v>0.5</v>
      </c>
      <c r="Z12" s="112">
        <v>0</v>
      </c>
      <c r="AA12" s="115"/>
      <c r="AB12" s="112">
        <v>0.5</v>
      </c>
      <c r="AC12" s="112">
        <v>0</v>
      </c>
      <c r="AD12" s="115"/>
      <c r="AE12" s="112">
        <v>0.5</v>
      </c>
      <c r="AF12" s="112"/>
      <c r="AG12" s="115"/>
      <c r="AH12" s="112">
        <v>0.5</v>
      </c>
      <c r="AI12" s="112">
        <v>0</v>
      </c>
      <c r="AJ12" s="115"/>
      <c r="AK12" s="112">
        <v>0.5</v>
      </c>
      <c r="AL12" s="112">
        <v>0</v>
      </c>
      <c r="AM12" s="115"/>
      <c r="AN12" s="112">
        <v>0.5</v>
      </c>
      <c r="AO12" s="112">
        <v>0</v>
      </c>
      <c r="AP12" s="115"/>
      <c r="AQ12" s="112">
        <v>0.3</v>
      </c>
      <c r="AR12" s="112">
        <v>0.3</v>
      </c>
      <c r="AS12" s="115"/>
      <c r="AT12" s="112">
        <v>0.3</v>
      </c>
      <c r="AU12" s="112">
        <v>0.2</v>
      </c>
      <c r="AV12" s="115"/>
      <c r="AW12" s="112">
        <v>0.3</v>
      </c>
      <c r="AX12" s="112">
        <v>0.3</v>
      </c>
      <c r="AY12" s="115"/>
      <c r="AZ12" s="112">
        <v>0.3</v>
      </c>
      <c r="BA12" s="112">
        <v>0</v>
      </c>
      <c r="BB12" s="115"/>
      <c r="BC12" s="112">
        <v>0.3</v>
      </c>
      <c r="BD12" s="112">
        <v>0.3</v>
      </c>
      <c r="BE12" s="115"/>
      <c r="BF12" s="112">
        <v>0.3</v>
      </c>
      <c r="BG12" s="112">
        <v>0</v>
      </c>
      <c r="BH12" s="115"/>
      <c r="BI12" s="112">
        <v>0.3</v>
      </c>
      <c r="BJ12" s="112">
        <v>0</v>
      </c>
      <c r="BK12" s="115"/>
      <c r="BL12" s="112">
        <v>0.3</v>
      </c>
      <c r="BM12" s="112">
        <v>0.3</v>
      </c>
      <c r="BN12" s="115"/>
      <c r="BO12" s="112">
        <v>0.3</v>
      </c>
      <c r="BP12" s="112">
        <v>0.3</v>
      </c>
      <c r="BQ12" s="115"/>
      <c r="BR12" s="112">
        <v>0.3</v>
      </c>
      <c r="BS12" s="112">
        <v>0.3</v>
      </c>
      <c r="BT12" s="115"/>
      <c r="BU12" s="112">
        <v>0.3</v>
      </c>
      <c r="BV12" s="112">
        <v>0.3</v>
      </c>
      <c r="BW12" s="115"/>
      <c r="BX12" s="112">
        <v>0.3</v>
      </c>
      <c r="BY12" s="112"/>
      <c r="BZ12" s="115"/>
      <c r="CA12" s="116">
        <v>0.3</v>
      </c>
      <c r="CB12" s="112"/>
      <c r="CC12" s="115"/>
      <c r="CD12" s="116">
        <v>0.3</v>
      </c>
      <c r="CE12" s="112"/>
      <c r="CF12" s="115"/>
      <c r="CG12" s="116">
        <v>0.3</v>
      </c>
      <c r="CH12" s="112"/>
      <c r="CI12" s="115"/>
      <c r="CJ12" s="116">
        <v>0.3</v>
      </c>
      <c r="CK12" s="112"/>
      <c r="CL12" s="115"/>
      <c r="CM12" s="116">
        <v>0.3</v>
      </c>
      <c r="CN12" s="112"/>
      <c r="CO12" s="115"/>
      <c r="CP12" s="92"/>
      <c r="CQ12" s="112"/>
    </row>
    <row r="13" spans="1:95" ht="12" x14ac:dyDescent="0.25">
      <c r="A13" s="111" t="s">
        <v>66</v>
      </c>
      <c r="B13" s="159"/>
      <c r="C13" s="112"/>
      <c r="D13" s="112">
        <v>1</v>
      </c>
      <c r="E13" s="112">
        <v>0</v>
      </c>
      <c r="F13" s="112"/>
      <c r="G13" s="112">
        <v>1</v>
      </c>
      <c r="H13" s="112"/>
      <c r="I13" s="112"/>
      <c r="J13" s="112">
        <v>0.5</v>
      </c>
      <c r="K13" s="112">
        <v>0</v>
      </c>
      <c r="L13" s="114"/>
      <c r="M13" s="112">
        <v>0.5</v>
      </c>
      <c r="N13" s="112">
        <v>0</v>
      </c>
      <c r="O13" s="114"/>
      <c r="P13" s="112">
        <v>0.5</v>
      </c>
      <c r="Q13" s="112">
        <v>0</v>
      </c>
      <c r="R13" s="114"/>
      <c r="S13" s="112">
        <v>0.5</v>
      </c>
      <c r="T13" s="112">
        <v>0</v>
      </c>
      <c r="U13" s="114"/>
      <c r="V13" s="112">
        <v>0.5</v>
      </c>
      <c r="W13" s="112">
        <v>0</v>
      </c>
      <c r="X13" s="115"/>
      <c r="Y13" s="112">
        <v>0.5</v>
      </c>
      <c r="Z13" s="112">
        <v>0</v>
      </c>
      <c r="AA13" s="115"/>
      <c r="AB13" s="112">
        <v>0.5</v>
      </c>
      <c r="AC13" s="112">
        <v>0</v>
      </c>
      <c r="AD13" s="115"/>
      <c r="AE13" s="112">
        <v>0.5</v>
      </c>
      <c r="AF13" s="112"/>
      <c r="AG13" s="115"/>
      <c r="AH13" s="112">
        <v>0.5</v>
      </c>
      <c r="AI13" s="112">
        <v>0</v>
      </c>
      <c r="AJ13" s="115"/>
      <c r="AK13" s="112">
        <v>0.5</v>
      </c>
      <c r="AL13" s="112">
        <v>0</v>
      </c>
      <c r="AM13" s="115"/>
      <c r="AN13" s="112">
        <v>0.5</v>
      </c>
      <c r="AO13" s="112">
        <v>0</v>
      </c>
      <c r="AP13" s="115"/>
      <c r="AQ13" s="112">
        <v>0.3</v>
      </c>
      <c r="AR13" s="112">
        <v>0.3</v>
      </c>
      <c r="AS13" s="115"/>
      <c r="AT13" s="112">
        <v>0.3</v>
      </c>
      <c r="AU13" s="112">
        <v>0.2</v>
      </c>
      <c r="AV13" s="115"/>
      <c r="AW13" s="112">
        <v>0.3</v>
      </c>
      <c r="AX13" s="112">
        <v>0</v>
      </c>
      <c r="AY13" s="115"/>
      <c r="AZ13" s="112">
        <v>0.3</v>
      </c>
      <c r="BA13" s="112">
        <v>0</v>
      </c>
      <c r="BB13" s="115"/>
      <c r="BC13" s="112">
        <v>0.3</v>
      </c>
      <c r="BD13" s="112">
        <v>0.3</v>
      </c>
      <c r="BE13" s="115"/>
      <c r="BF13" s="112">
        <v>0.3</v>
      </c>
      <c r="BG13" s="112">
        <v>0</v>
      </c>
      <c r="BH13" s="115"/>
      <c r="BI13" s="112">
        <v>0.3</v>
      </c>
      <c r="BJ13" s="112">
        <v>0</v>
      </c>
      <c r="BK13" s="115"/>
      <c r="BL13" s="112">
        <v>0.3</v>
      </c>
      <c r="BM13" s="112">
        <v>0.3</v>
      </c>
      <c r="BN13" s="115"/>
      <c r="BO13" s="112">
        <v>0.3</v>
      </c>
      <c r="BP13" s="112">
        <v>0.3</v>
      </c>
      <c r="BQ13" s="115"/>
      <c r="BR13" s="112">
        <v>0.3</v>
      </c>
      <c r="BS13" s="112">
        <v>0.3</v>
      </c>
      <c r="BT13" s="115"/>
      <c r="BU13" s="112">
        <v>0.3</v>
      </c>
      <c r="BV13" s="112">
        <v>0.3</v>
      </c>
      <c r="BW13" s="115"/>
      <c r="BX13" s="112">
        <v>0.3</v>
      </c>
      <c r="BY13" s="112"/>
      <c r="BZ13" s="115"/>
      <c r="CA13" s="116">
        <v>0.3</v>
      </c>
      <c r="CB13" s="112"/>
      <c r="CC13" s="115"/>
      <c r="CD13" s="116">
        <v>0.3</v>
      </c>
      <c r="CE13" s="112"/>
      <c r="CF13" s="115"/>
      <c r="CG13" s="116">
        <v>0.3</v>
      </c>
      <c r="CH13" s="112"/>
      <c r="CI13" s="115"/>
      <c r="CJ13" s="116">
        <v>0.3</v>
      </c>
      <c r="CK13" s="112"/>
      <c r="CL13" s="115"/>
      <c r="CM13" s="116">
        <v>0.3</v>
      </c>
      <c r="CN13" s="112"/>
      <c r="CO13" s="115"/>
      <c r="CP13" s="92"/>
      <c r="CQ13" s="112"/>
    </row>
    <row r="14" spans="1:95" ht="12" x14ac:dyDescent="0.25">
      <c r="A14" s="111" t="s">
        <v>67</v>
      </c>
      <c r="B14" s="159"/>
      <c r="C14" s="112"/>
      <c r="D14" s="112">
        <v>1</v>
      </c>
      <c r="E14" s="112">
        <v>0</v>
      </c>
      <c r="F14" s="112"/>
      <c r="G14" s="112">
        <v>1</v>
      </c>
      <c r="H14" s="112"/>
      <c r="I14" s="112"/>
      <c r="J14" s="112">
        <v>0.5</v>
      </c>
      <c r="K14" s="112">
        <v>0</v>
      </c>
      <c r="L14" s="114"/>
      <c r="M14" s="112">
        <v>0.5</v>
      </c>
      <c r="N14" s="112">
        <v>0</v>
      </c>
      <c r="O14" s="114"/>
      <c r="P14" s="112">
        <v>0.5</v>
      </c>
      <c r="Q14" s="112">
        <v>0</v>
      </c>
      <c r="R14" s="114"/>
      <c r="S14" s="112">
        <v>0.5</v>
      </c>
      <c r="T14" s="112">
        <v>0</v>
      </c>
      <c r="U14" s="114"/>
      <c r="V14" s="112">
        <v>0.5</v>
      </c>
      <c r="W14" s="112">
        <v>0</v>
      </c>
      <c r="X14" s="115"/>
      <c r="Y14" s="112">
        <v>0.5</v>
      </c>
      <c r="Z14" s="112">
        <v>0</v>
      </c>
      <c r="AA14" s="115"/>
      <c r="AB14" s="112">
        <v>0.5</v>
      </c>
      <c r="AC14" s="112">
        <v>0</v>
      </c>
      <c r="AD14" s="115"/>
      <c r="AE14" s="112">
        <v>0.5</v>
      </c>
      <c r="AF14" s="112"/>
      <c r="AG14" s="115"/>
      <c r="AH14" s="112">
        <v>0.5</v>
      </c>
      <c r="AI14" s="112">
        <v>0</v>
      </c>
      <c r="AJ14" s="115"/>
      <c r="AK14" s="112">
        <v>0.5</v>
      </c>
      <c r="AL14" s="112">
        <v>0</v>
      </c>
      <c r="AM14" s="115"/>
      <c r="AN14" s="112">
        <v>0.5</v>
      </c>
      <c r="AO14" s="112">
        <v>0</v>
      </c>
      <c r="AP14" s="115"/>
      <c r="AQ14" s="112">
        <v>0.3</v>
      </c>
      <c r="AR14" s="112">
        <v>0.3</v>
      </c>
      <c r="AS14" s="115"/>
      <c r="AT14" s="112">
        <v>0.3</v>
      </c>
      <c r="AU14" s="112">
        <v>0.2</v>
      </c>
      <c r="AV14" s="115"/>
      <c r="AW14" s="112">
        <v>0.3</v>
      </c>
      <c r="AX14" s="112">
        <v>0</v>
      </c>
      <c r="AY14" s="115"/>
      <c r="AZ14" s="112">
        <v>0.3</v>
      </c>
      <c r="BA14" s="112">
        <v>0</v>
      </c>
      <c r="BB14" s="115"/>
      <c r="BC14" s="112">
        <v>0.3</v>
      </c>
      <c r="BD14" s="112">
        <v>0.3</v>
      </c>
      <c r="BE14" s="115"/>
      <c r="BF14" s="112">
        <v>0.3</v>
      </c>
      <c r="BG14" s="112">
        <v>0</v>
      </c>
      <c r="BH14" s="115"/>
      <c r="BI14" s="112">
        <v>0.3</v>
      </c>
      <c r="BJ14" s="112">
        <v>0</v>
      </c>
      <c r="BK14" s="115"/>
      <c r="BL14" s="112">
        <v>0.3</v>
      </c>
      <c r="BM14" s="112">
        <v>0.3</v>
      </c>
      <c r="BN14" s="115"/>
      <c r="BO14" s="112">
        <v>0.3</v>
      </c>
      <c r="BP14" s="112">
        <v>0.3</v>
      </c>
      <c r="BQ14" s="115"/>
      <c r="BR14" s="112">
        <v>0.3</v>
      </c>
      <c r="BS14" s="112">
        <v>0.3</v>
      </c>
      <c r="BT14" s="115"/>
      <c r="BU14" s="112">
        <v>0.3</v>
      </c>
      <c r="BV14" s="112">
        <v>0.3</v>
      </c>
      <c r="BW14" s="115"/>
      <c r="BX14" s="112">
        <v>0.3</v>
      </c>
      <c r="BY14" s="112"/>
      <c r="BZ14" s="115"/>
      <c r="CA14" s="116">
        <v>0.3</v>
      </c>
      <c r="CB14" s="112"/>
      <c r="CC14" s="115"/>
      <c r="CD14" s="116">
        <v>0.3</v>
      </c>
      <c r="CE14" s="112"/>
      <c r="CF14" s="115"/>
      <c r="CG14" s="116">
        <v>0.3</v>
      </c>
      <c r="CH14" s="112"/>
      <c r="CI14" s="115"/>
      <c r="CJ14" s="116">
        <v>0.3</v>
      </c>
      <c r="CK14" s="112"/>
      <c r="CL14" s="115"/>
      <c r="CM14" s="116">
        <v>0.3</v>
      </c>
      <c r="CN14" s="112"/>
      <c r="CO14" s="115"/>
      <c r="CP14" s="92"/>
      <c r="CQ14" s="112"/>
    </row>
    <row r="15" spans="1:95" ht="12" x14ac:dyDescent="0.25">
      <c r="A15" s="111" t="s">
        <v>68</v>
      </c>
      <c r="B15" s="159"/>
      <c r="C15" s="112"/>
      <c r="D15" s="112">
        <v>1</v>
      </c>
      <c r="E15" s="112">
        <v>0</v>
      </c>
      <c r="F15" s="112"/>
      <c r="G15" s="112">
        <v>1</v>
      </c>
      <c r="H15" s="112"/>
      <c r="I15" s="112"/>
      <c r="J15" s="112">
        <v>0.5</v>
      </c>
      <c r="K15" s="112">
        <v>0</v>
      </c>
      <c r="L15" s="114"/>
      <c r="M15" s="112">
        <v>0.5</v>
      </c>
      <c r="N15" s="112">
        <v>0</v>
      </c>
      <c r="O15" s="114"/>
      <c r="P15" s="112">
        <v>0.5</v>
      </c>
      <c r="Q15" s="112">
        <v>0</v>
      </c>
      <c r="R15" s="114"/>
      <c r="S15" s="112">
        <v>0.5</v>
      </c>
      <c r="T15" s="112">
        <v>0</v>
      </c>
      <c r="U15" s="114"/>
      <c r="V15" s="112">
        <v>0.5</v>
      </c>
      <c r="W15" s="112">
        <v>0</v>
      </c>
      <c r="X15" s="115"/>
      <c r="Y15" s="112">
        <v>0.5</v>
      </c>
      <c r="Z15" s="112">
        <v>0</v>
      </c>
      <c r="AA15" s="115"/>
      <c r="AB15" s="112">
        <v>0.5</v>
      </c>
      <c r="AC15" s="112">
        <v>0</v>
      </c>
      <c r="AD15" s="115"/>
      <c r="AE15" s="112">
        <v>0.5</v>
      </c>
      <c r="AF15" s="112"/>
      <c r="AG15" s="115"/>
      <c r="AH15" s="112">
        <v>0.5</v>
      </c>
      <c r="AI15" s="112">
        <v>0</v>
      </c>
      <c r="AJ15" s="115"/>
      <c r="AK15" s="112">
        <v>0.5</v>
      </c>
      <c r="AL15" s="112">
        <v>0</v>
      </c>
      <c r="AM15" s="115"/>
      <c r="AN15" s="112">
        <v>0.5</v>
      </c>
      <c r="AO15" s="112">
        <v>0</v>
      </c>
      <c r="AP15" s="115"/>
      <c r="AQ15" s="112">
        <v>0.3</v>
      </c>
      <c r="AR15" s="112">
        <v>0.3</v>
      </c>
      <c r="AS15" s="115"/>
      <c r="AT15" s="112">
        <v>0.3</v>
      </c>
      <c r="AU15" s="112">
        <v>0.2</v>
      </c>
      <c r="AV15" s="115"/>
      <c r="AW15" s="112">
        <v>0.3</v>
      </c>
      <c r="AX15" s="112">
        <v>0</v>
      </c>
      <c r="AY15" s="115"/>
      <c r="AZ15" s="112">
        <v>0.3</v>
      </c>
      <c r="BA15" s="112">
        <v>0</v>
      </c>
      <c r="BB15" s="115"/>
      <c r="BC15" s="112">
        <v>0.3</v>
      </c>
      <c r="BD15" s="112">
        <v>0.3</v>
      </c>
      <c r="BE15" s="115"/>
      <c r="BF15" s="112">
        <v>0.3</v>
      </c>
      <c r="BG15" s="112">
        <v>0</v>
      </c>
      <c r="BH15" s="115"/>
      <c r="BI15" s="112">
        <v>0.3</v>
      </c>
      <c r="BJ15" s="112">
        <v>0.3</v>
      </c>
      <c r="BK15" s="115"/>
      <c r="BL15" s="112">
        <v>0.3</v>
      </c>
      <c r="BM15" s="112">
        <v>0.3</v>
      </c>
      <c r="BN15" s="115"/>
      <c r="BO15" s="112">
        <v>0.3</v>
      </c>
      <c r="BP15" s="112">
        <v>0.3</v>
      </c>
      <c r="BQ15" s="115"/>
      <c r="BR15" s="112">
        <v>0.3</v>
      </c>
      <c r="BS15" s="112">
        <v>0.3</v>
      </c>
      <c r="BT15" s="115"/>
      <c r="BU15" s="112">
        <v>0.3</v>
      </c>
      <c r="BV15" s="112">
        <v>0.3</v>
      </c>
      <c r="BW15" s="115"/>
      <c r="BX15" s="112">
        <v>0.3</v>
      </c>
      <c r="BY15" s="112"/>
      <c r="BZ15" s="115"/>
      <c r="CA15" s="116">
        <v>0.3</v>
      </c>
      <c r="CB15" s="112"/>
      <c r="CC15" s="115"/>
      <c r="CD15" s="116">
        <v>0.3</v>
      </c>
      <c r="CE15" s="112"/>
      <c r="CF15" s="115"/>
      <c r="CG15" s="116">
        <v>0.3</v>
      </c>
      <c r="CH15" s="112"/>
      <c r="CI15" s="115"/>
      <c r="CJ15" s="116">
        <v>0.3</v>
      </c>
      <c r="CK15" s="112"/>
      <c r="CL15" s="115"/>
      <c r="CM15" s="116">
        <v>0.3</v>
      </c>
      <c r="CN15" s="112"/>
      <c r="CO15" s="115"/>
      <c r="CP15" s="92"/>
      <c r="CQ15" s="112"/>
    </row>
    <row r="16" spans="1:95" ht="12" x14ac:dyDescent="0.25">
      <c r="A16" s="111" t="s">
        <v>69</v>
      </c>
      <c r="B16" s="159"/>
      <c r="C16" s="112"/>
      <c r="D16" s="112">
        <v>1</v>
      </c>
      <c r="E16" s="112">
        <v>0</v>
      </c>
      <c r="F16" s="112"/>
      <c r="G16" s="112">
        <v>1</v>
      </c>
      <c r="H16" s="112"/>
      <c r="I16" s="112"/>
      <c r="J16" s="112">
        <v>0.5</v>
      </c>
      <c r="K16" s="112">
        <v>0</v>
      </c>
      <c r="L16" s="114"/>
      <c r="M16" s="112">
        <v>0.5</v>
      </c>
      <c r="N16" s="112">
        <v>0</v>
      </c>
      <c r="O16" s="114"/>
      <c r="P16" s="112">
        <v>0.5</v>
      </c>
      <c r="Q16" s="112">
        <v>0</v>
      </c>
      <c r="R16" s="114"/>
      <c r="S16" s="112">
        <v>0.5</v>
      </c>
      <c r="T16" s="112">
        <v>0</v>
      </c>
      <c r="U16" s="114"/>
      <c r="V16" s="112">
        <v>0.5</v>
      </c>
      <c r="W16" s="112">
        <v>0</v>
      </c>
      <c r="X16" s="115"/>
      <c r="Y16" s="112">
        <v>0.5</v>
      </c>
      <c r="Z16" s="112">
        <v>0</v>
      </c>
      <c r="AA16" s="115"/>
      <c r="AB16" s="112">
        <v>0.5</v>
      </c>
      <c r="AC16" s="112">
        <v>0</v>
      </c>
      <c r="AD16" s="115"/>
      <c r="AE16" s="112">
        <v>0.5</v>
      </c>
      <c r="AF16" s="112"/>
      <c r="AG16" s="115"/>
      <c r="AH16" s="112">
        <v>0.5</v>
      </c>
      <c r="AI16" s="112">
        <v>0</v>
      </c>
      <c r="AJ16" s="115"/>
      <c r="AK16" s="112">
        <v>0.5</v>
      </c>
      <c r="AL16" s="112">
        <v>0</v>
      </c>
      <c r="AM16" s="115"/>
      <c r="AN16" s="112">
        <v>0.5</v>
      </c>
      <c r="AO16" s="112">
        <v>0</v>
      </c>
      <c r="AP16" s="115"/>
      <c r="AQ16" s="112">
        <v>0.3</v>
      </c>
      <c r="AR16" s="112">
        <v>0.3</v>
      </c>
      <c r="AS16" s="115"/>
      <c r="AT16" s="112">
        <v>0.3</v>
      </c>
      <c r="AU16" s="112">
        <v>0.2</v>
      </c>
      <c r="AV16" s="115"/>
      <c r="AW16" s="112">
        <v>0.3</v>
      </c>
      <c r="AX16" s="112">
        <v>0</v>
      </c>
      <c r="AY16" s="115"/>
      <c r="AZ16" s="112">
        <v>0.3</v>
      </c>
      <c r="BA16" s="112">
        <v>0</v>
      </c>
      <c r="BB16" s="115"/>
      <c r="BC16" s="112">
        <v>0.3</v>
      </c>
      <c r="BD16" s="112">
        <v>0</v>
      </c>
      <c r="BE16" s="115"/>
      <c r="BF16" s="112">
        <v>0.3</v>
      </c>
      <c r="BG16" s="112">
        <v>0</v>
      </c>
      <c r="BH16" s="115"/>
      <c r="BI16" s="112">
        <v>0.3</v>
      </c>
      <c r="BJ16" s="112">
        <v>0.3</v>
      </c>
      <c r="BK16" s="115"/>
      <c r="BL16" s="112">
        <v>0.3</v>
      </c>
      <c r="BM16" s="112">
        <v>0.3</v>
      </c>
      <c r="BN16" s="115"/>
      <c r="BO16" s="112">
        <v>0.3</v>
      </c>
      <c r="BP16" s="112">
        <v>0.3</v>
      </c>
      <c r="BQ16" s="115"/>
      <c r="BR16" s="112">
        <v>0.3</v>
      </c>
      <c r="BS16" s="112">
        <v>0.3</v>
      </c>
      <c r="BT16" s="115"/>
      <c r="BU16" s="112">
        <v>0.3</v>
      </c>
      <c r="BV16" s="112">
        <v>0.3</v>
      </c>
      <c r="BW16" s="115"/>
      <c r="BX16" s="112">
        <v>0.3</v>
      </c>
      <c r="BY16" s="112"/>
      <c r="BZ16" s="115"/>
      <c r="CA16" s="116">
        <v>0.3</v>
      </c>
      <c r="CB16" s="112"/>
      <c r="CC16" s="115"/>
      <c r="CD16" s="116">
        <v>0.3</v>
      </c>
      <c r="CE16" s="112"/>
      <c r="CF16" s="115"/>
      <c r="CG16" s="116">
        <v>0.3</v>
      </c>
      <c r="CH16" s="112"/>
      <c r="CI16" s="115"/>
      <c r="CJ16" s="116">
        <v>0.3</v>
      </c>
      <c r="CK16" s="112"/>
      <c r="CL16" s="115"/>
      <c r="CM16" s="116">
        <v>0.3</v>
      </c>
      <c r="CN16" s="112"/>
      <c r="CO16" s="115"/>
      <c r="CP16" s="92"/>
      <c r="CQ16" s="112"/>
    </row>
    <row r="17" spans="1:95" ht="12" x14ac:dyDescent="0.25">
      <c r="A17" s="111" t="s">
        <v>70</v>
      </c>
      <c r="B17" s="159"/>
      <c r="C17" s="112"/>
      <c r="D17" s="112">
        <v>1</v>
      </c>
      <c r="E17" s="112">
        <v>0</v>
      </c>
      <c r="F17" s="112"/>
      <c r="G17" s="112">
        <v>1</v>
      </c>
      <c r="H17" s="112"/>
      <c r="I17" s="112"/>
      <c r="J17" s="112">
        <v>0.5</v>
      </c>
      <c r="K17" s="112">
        <v>0</v>
      </c>
      <c r="L17" s="114"/>
      <c r="M17" s="112">
        <v>0.5</v>
      </c>
      <c r="N17" s="112">
        <v>0</v>
      </c>
      <c r="O17" s="114"/>
      <c r="P17" s="112">
        <v>0.5</v>
      </c>
      <c r="Q17" s="112">
        <v>0</v>
      </c>
      <c r="R17" s="114"/>
      <c r="S17" s="112">
        <v>0.5</v>
      </c>
      <c r="T17" s="112">
        <v>0</v>
      </c>
      <c r="U17" s="114"/>
      <c r="V17" s="112">
        <v>0.5</v>
      </c>
      <c r="W17" s="112">
        <v>0</v>
      </c>
      <c r="X17" s="115"/>
      <c r="Y17" s="112">
        <v>0.5</v>
      </c>
      <c r="Z17" s="112">
        <v>0</v>
      </c>
      <c r="AA17" s="115"/>
      <c r="AB17" s="112">
        <v>0.5</v>
      </c>
      <c r="AC17" s="112">
        <v>0</v>
      </c>
      <c r="AD17" s="115"/>
      <c r="AE17" s="112">
        <v>0.5</v>
      </c>
      <c r="AF17" s="112"/>
      <c r="AG17" s="115"/>
      <c r="AH17" s="112">
        <v>0.5</v>
      </c>
      <c r="AI17" s="112">
        <v>0</v>
      </c>
      <c r="AJ17" s="115"/>
      <c r="AK17" s="112">
        <v>0.5</v>
      </c>
      <c r="AL17" s="112">
        <v>0</v>
      </c>
      <c r="AM17" s="115"/>
      <c r="AN17" s="112">
        <v>0.5</v>
      </c>
      <c r="AO17" s="112">
        <v>0</v>
      </c>
      <c r="AP17" s="115"/>
      <c r="AQ17" s="112">
        <v>0.3</v>
      </c>
      <c r="AR17" s="112">
        <v>0.3</v>
      </c>
      <c r="AS17" s="115"/>
      <c r="AT17" s="112">
        <v>0.3</v>
      </c>
      <c r="AU17" s="112">
        <v>0.2</v>
      </c>
      <c r="AV17" s="115"/>
      <c r="AW17" s="112">
        <v>0.3</v>
      </c>
      <c r="AX17" s="112">
        <v>0</v>
      </c>
      <c r="AY17" s="115"/>
      <c r="AZ17" s="112">
        <v>0.3</v>
      </c>
      <c r="BA17" s="112">
        <v>0.3</v>
      </c>
      <c r="BB17" s="115"/>
      <c r="BC17" s="112">
        <v>0.3</v>
      </c>
      <c r="BD17" s="112">
        <v>0</v>
      </c>
      <c r="BE17" s="115"/>
      <c r="BF17" s="112">
        <v>0.3</v>
      </c>
      <c r="BG17" s="112">
        <v>0</v>
      </c>
      <c r="BH17" s="115"/>
      <c r="BI17" s="112">
        <v>0.3</v>
      </c>
      <c r="BJ17" s="112">
        <v>0.3</v>
      </c>
      <c r="BK17" s="115"/>
      <c r="BL17" s="112">
        <v>0.3</v>
      </c>
      <c r="BM17" s="112">
        <v>0.3</v>
      </c>
      <c r="BN17" s="115"/>
      <c r="BO17" s="112">
        <v>0.3</v>
      </c>
      <c r="BP17" s="112">
        <v>0.3</v>
      </c>
      <c r="BQ17" s="115"/>
      <c r="BR17" s="112">
        <v>0.3</v>
      </c>
      <c r="BS17" s="112">
        <v>0.3</v>
      </c>
      <c r="BT17" s="115"/>
      <c r="BU17" s="112">
        <v>0.3</v>
      </c>
      <c r="BV17" s="112">
        <v>0.3</v>
      </c>
      <c r="BW17" s="115"/>
      <c r="BX17" s="112">
        <v>0.3</v>
      </c>
      <c r="BY17" s="112"/>
      <c r="BZ17" s="115"/>
      <c r="CA17" s="116">
        <v>0.3</v>
      </c>
      <c r="CB17" s="112"/>
      <c r="CC17" s="115"/>
      <c r="CD17" s="116">
        <v>0.3</v>
      </c>
      <c r="CE17" s="112"/>
      <c r="CF17" s="115"/>
      <c r="CG17" s="116">
        <v>0.3</v>
      </c>
      <c r="CH17" s="112"/>
      <c r="CI17" s="115"/>
      <c r="CJ17" s="116">
        <v>0.3</v>
      </c>
      <c r="CK17" s="112"/>
      <c r="CL17" s="115"/>
      <c r="CM17" s="116">
        <v>0.3</v>
      </c>
      <c r="CN17" s="112"/>
      <c r="CO17" s="115"/>
      <c r="CP17" s="92"/>
      <c r="CQ17" s="112"/>
    </row>
    <row r="18" spans="1:95" ht="12" x14ac:dyDescent="0.25">
      <c r="A18" s="111" t="s">
        <v>71</v>
      </c>
      <c r="B18" s="159"/>
      <c r="C18" s="112"/>
      <c r="D18" s="112">
        <v>1</v>
      </c>
      <c r="E18" s="112">
        <v>0</v>
      </c>
      <c r="F18" s="112"/>
      <c r="G18" s="112">
        <v>1</v>
      </c>
      <c r="H18" s="112"/>
      <c r="I18" s="112"/>
      <c r="J18" s="112">
        <v>0.5</v>
      </c>
      <c r="K18" s="112">
        <v>0</v>
      </c>
      <c r="L18" s="114"/>
      <c r="M18" s="112">
        <v>0.5</v>
      </c>
      <c r="N18" s="112">
        <v>0</v>
      </c>
      <c r="O18" s="114"/>
      <c r="P18" s="112">
        <v>0.5</v>
      </c>
      <c r="Q18" s="112">
        <v>0</v>
      </c>
      <c r="R18" s="114"/>
      <c r="S18" s="112">
        <v>0.5</v>
      </c>
      <c r="T18" s="112">
        <v>0</v>
      </c>
      <c r="U18" s="114"/>
      <c r="V18" s="112">
        <v>0.5</v>
      </c>
      <c r="W18" s="112">
        <v>0</v>
      </c>
      <c r="X18" s="115"/>
      <c r="Y18" s="112">
        <v>0.5</v>
      </c>
      <c r="Z18" s="112">
        <v>0</v>
      </c>
      <c r="AA18" s="115"/>
      <c r="AB18" s="112">
        <v>0.5</v>
      </c>
      <c r="AC18" s="112">
        <v>0</v>
      </c>
      <c r="AD18" s="115"/>
      <c r="AE18" s="112">
        <v>0.5</v>
      </c>
      <c r="AF18" s="112"/>
      <c r="AG18" s="115"/>
      <c r="AH18" s="112">
        <v>0.5</v>
      </c>
      <c r="AI18" s="112">
        <v>0</v>
      </c>
      <c r="AJ18" s="115"/>
      <c r="AK18" s="112">
        <v>0.5</v>
      </c>
      <c r="AL18" s="112">
        <v>0</v>
      </c>
      <c r="AM18" s="115"/>
      <c r="AN18" s="112">
        <v>0.5</v>
      </c>
      <c r="AO18" s="112">
        <v>0</v>
      </c>
      <c r="AP18" s="115"/>
      <c r="AQ18" s="112">
        <v>0.3</v>
      </c>
      <c r="AR18" s="112">
        <v>0.3</v>
      </c>
      <c r="AS18" s="115"/>
      <c r="AT18" s="112">
        <v>0.3</v>
      </c>
      <c r="AU18" s="112">
        <v>0.2</v>
      </c>
      <c r="AV18" s="115"/>
      <c r="AW18" s="112">
        <v>0.3</v>
      </c>
      <c r="AX18" s="112">
        <v>0.3</v>
      </c>
      <c r="AY18" s="115"/>
      <c r="AZ18" s="112">
        <v>0.3</v>
      </c>
      <c r="BA18" s="112">
        <v>0.3</v>
      </c>
      <c r="BB18" s="115"/>
      <c r="BC18" s="112">
        <v>0.3</v>
      </c>
      <c r="BD18" s="112">
        <v>0</v>
      </c>
      <c r="BE18" s="115"/>
      <c r="BF18" s="112">
        <v>0.3</v>
      </c>
      <c r="BG18" s="112">
        <v>0</v>
      </c>
      <c r="BH18" s="115"/>
      <c r="BI18" s="112">
        <v>0.3</v>
      </c>
      <c r="BJ18" s="112">
        <v>0.3</v>
      </c>
      <c r="BK18" s="115"/>
      <c r="BL18" s="112">
        <v>0.3</v>
      </c>
      <c r="BM18" s="112">
        <v>0.3</v>
      </c>
      <c r="BN18" s="115"/>
      <c r="BO18" s="112">
        <v>0.3</v>
      </c>
      <c r="BP18" s="112">
        <v>0.3</v>
      </c>
      <c r="BQ18" s="115"/>
      <c r="BR18" s="112">
        <v>0.3</v>
      </c>
      <c r="BS18" s="112">
        <v>0.3</v>
      </c>
      <c r="BT18" s="115"/>
      <c r="BU18" s="112">
        <v>0.3</v>
      </c>
      <c r="BV18" s="112">
        <v>0.3</v>
      </c>
      <c r="BW18" s="115"/>
      <c r="BX18" s="112">
        <v>0.3</v>
      </c>
      <c r="BY18" s="112"/>
      <c r="BZ18" s="115"/>
      <c r="CA18" s="116">
        <v>0.3</v>
      </c>
      <c r="CB18" s="112"/>
      <c r="CC18" s="115"/>
      <c r="CD18" s="116">
        <v>0.3</v>
      </c>
      <c r="CE18" s="112"/>
      <c r="CF18" s="115"/>
      <c r="CG18" s="116">
        <v>0.3</v>
      </c>
      <c r="CH18" s="112"/>
      <c r="CI18" s="115"/>
      <c r="CJ18" s="116">
        <v>0.3</v>
      </c>
      <c r="CK18" s="112"/>
      <c r="CL18" s="115"/>
      <c r="CM18" s="116">
        <v>0.3</v>
      </c>
      <c r="CN18" s="112"/>
      <c r="CO18" s="115"/>
      <c r="CP18" s="92"/>
      <c r="CQ18" s="112"/>
    </row>
    <row r="19" spans="1:95" ht="12" x14ac:dyDescent="0.25">
      <c r="A19" s="111" t="s">
        <v>72</v>
      </c>
      <c r="B19" s="159"/>
      <c r="C19" s="112"/>
      <c r="D19" s="112">
        <v>1</v>
      </c>
      <c r="E19" s="112">
        <v>0</v>
      </c>
      <c r="F19" s="112"/>
      <c r="G19" s="112">
        <v>1</v>
      </c>
      <c r="H19" s="112"/>
      <c r="I19" s="112"/>
      <c r="J19" s="112">
        <v>0.5</v>
      </c>
      <c r="K19" s="112">
        <v>0</v>
      </c>
      <c r="L19" s="114"/>
      <c r="M19" s="112">
        <v>0.5</v>
      </c>
      <c r="N19" s="112">
        <v>0</v>
      </c>
      <c r="O19" s="114"/>
      <c r="P19" s="112">
        <v>0.5</v>
      </c>
      <c r="Q19" s="112">
        <v>0</v>
      </c>
      <c r="R19" s="114"/>
      <c r="S19" s="112">
        <v>0.5</v>
      </c>
      <c r="T19" s="112">
        <v>0</v>
      </c>
      <c r="U19" s="114"/>
      <c r="V19" s="112">
        <v>0.5</v>
      </c>
      <c r="W19" s="112">
        <v>0</v>
      </c>
      <c r="X19" s="115"/>
      <c r="Y19" s="112">
        <v>0.5</v>
      </c>
      <c r="Z19" s="112">
        <v>0</v>
      </c>
      <c r="AA19" s="115"/>
      <c r="AB19" s="112">
        <v>0.5</v>
      </c>
      <c r="AC19" s="112">
        <v>0</v>
      </c>
      <c r="AD19" s="115"/>
      <c r="AE19" s="112">
        <v>0.5</v>
      </c>
      <c r="AF19" s="112"/>
      <c r="AG19" s="115"/>
      <c r="AH19" s="112">
        <v>0.5</v>
      </c>
      <c r="AI19" s="112">
        <v>0</v>
      </c>
      <c r="AJ19" s="115"/>
      <c r="AK19" s="112">
        <v>0.5</v>
      </c>
      <c r="AL19" s="112">
        <v>0</v>
      </c>
      <c r="AM19" s="115"/>
      <c r="AN19" s="112">
        <v>0.5</v>
      </c>
      <c r="AO19" s="112">
        <v>0</v>
      </c>
      <c r="AP19" s="115"/>
      <c r="AQ19" s="112">
        <v>0.3</v>
      </c>
      <c r="AR19" s="112">
        <v>0.3</v>
      </c>
      <c r="AS19" s="115"/>
      <c r="AT19" s="112">
        <v>0.3</v>
      </c>
      <c r="AU19" s="112">
        <v>0.2</v>
      </c>
      <c r="AV19" s="115"/>
      <c r="AW19" s="112">
        <v>0.3</v>
      </c>
      <c r="AX19" s="112">
        <v>0</v>
      </c>
      <c r="AY19" s="115"/>
      <c r="AZ19" s="112">
        <v>0.3</v>
      </c>
      <c r="BA19" s="112">
        <v>0.3</v>
      </c>
      <c r="BB19" s="115"/>
      <c r="BC19" s="112">
        <v>0.3</v>
      </c>
      <c r="BD19" s="112">
        <v>0.3</v>
      </c>
      <c r="BE19" s="115"/>
      <c r="BF19" s="112">
        <v>0.3</v>
      </c>
      <c r="BG19" s="112">
        <v>0</v>
      </c>
      <c r="BH19" s="115"/>
      <c r="BI19" s="112">
        <v>0.3</v>
      </c>
      <c r="BJ19" s="112">
        <v>0.3</v>
      </c>
      <c r="BK19" s="115"/>
      <c r="BL19" s="112">
        <v>0.3</v>
      </c>
      <c r="BM19" s="112">
        <v>0.3</v>
      </c>
      <c r="BN19" s="115"/>
      <c r="BO19" s="112">
        <v>0.3</v>
      </c>
      <c r="BP19" s="112">
        <v>0.3</v>
      </c>
      <c r="BQ19" s="115"/>
      <c r="BR19" s="112">
        <v>0.3</v>
      </c>
      <c r="BS19" s="112">
        <v>0.3</v>
      </c>
      <c r="BT19" s="115"/>
      <c r="BU19" s="112">
        <v>0.3</v>
      </c>
      <c r="BV19" s="112">
        <v>0.3</v>
      </c>
      <c r="BW19" s="115"/>
      <c r="BX19" s="112">
        <v>0.3</v>
      </c>
      <c r="BY19" s="112"/>
      <c r="BZ19" s="115"/>
      <c r="CA19" s="116">
        <v>0.3</v>
      </c>
      <c r="CB19" s="112"/>
      <c r="CC19" s="115"/>
      <c r="CD19" s="116">
        <v>0.3</v>
      </c>
      <c r="CE19" s="112"/>
      <c r="CF19" s="115"/>
      <c r="CG19" s="116">
        <v>0.3</v>
      </c>
      <c r="CH19" s="112"/>
      <c r="CI19" s="115"/>
      <c r="CJ19" s="116">
        <v>0.3</v>
      </c>
      <c r="CK19" s="112"/>
      <c r="CL19" s="115"/>
      <c r="CM19" s="116">
        <v>0.3</v>
      </c>
      <c r="CN19" s="112"/>
      <c r="CO19" s="115"/>
      <c r="CP19" s="92"/>
      <c r="CQ19" s="112"/>
    </row>
    <row r="20" spans="1:95" ht="12" x14ac:dyDescent="0.25">
      <c r="A20" s="111" t="s">
        <v>73</v>
      </c>
      <c r="B20" s="159"/>
      <c r="C20" s="112"/>
      <c r="D20" s="112">
        <v>1</v>
      </c>
      <c r="E20" s="112">
        <v>0</v>
      </c>
      <c r="F20" s="112"/>
      <c r="G20" s="112">
        <v>1</v>
      </c>
      <c r="H20" s="112"/>
      <c r="I20" s="112"/>
      <c r="J20" s="112">
        <v>0.5</v>
      </c>
      <c r="K20" s="112">
        <v>0</v>
      </c>
      <c r="L20" s="114"/>
      <c r="M20" s="112">
        <v>0.5</v>
      </c>
      <c r="N20" s="112">
        <v>0</v>
      </c>
      <c r="O20" s="114"/>
      <c r="P20" s="112">
        <v>0.5</v>
      </c>
      <c r="Q20" s="112">
        <v>0</v>
      </c>
      <c r="R20" s="114"/>
      <c r="S20" s="112">
        <v>0.5</v>
      </c>
      <c r="T20" s="112">
        <v>0</v>
      </c>
      <c r="U20" s="114"/>
      <c r="V20" s="112">
        <v>0.5</v>
      </c>
      <c r="W20" s="112">
        <v>0</v>
      </c>
      <c r="X20" s="115"/>
      <c r="Y20" s="112">
        <v>0.5</v>
      </c>
      <c r="Z20" s="112">
        <v>0</v>
      </c>
      <c r="AA20" s="115"/>
      <c r="AB20" s="112">
        <v>0.5</v>
      </c>
      <c r="AC20" s="112">
        <v>0</v>
      </c>
      <c r="AD20" s="115"/>
      <c r="AE20" s="112">
        <v>0.5</v>
      </c>
      <c r="AF20" s="112"/>
      <c r="AG20" s="115"/>
      <c r="AH20" s="112">
        <v>0.5</v>
      </c>
      <c r="AI20" s="112">
        <v>0</v>
      </c>
      <c r="AJ20" s="115"/>
      <c r="AK20" s="112">
        <v>0.5</v>
      </c>
      <c r="AL20" s="112">
        <v>0</v>
      </c>
      <c r="AM20" s="115"/>
      <c r="AN20" s="112">
        <v>0.5</v>
      </c>
      <c r="AO20" s="112">
        <v>0</v>
      </c>
      <c r="AP20" s="115"/>
      <c r="AQ20" s="112">
        <v>0.3</v>
      </c>
      <c r="AR20" s="112">
        <v>0.3</v>
      </c>
      <c r="AS20" s="115"/>
      <c r="AT20" s="112">
        <v>0.3</v>
      </c>
      <c r="AU20" s="112">
        <v>0.2</v>
      </c>
      <c r="AV20" s="115"/>
      <c r="AW20" s="112">
        <v>0.3</v>
      </c>
      <c r="AX20" s="112">
        <v>0</v>
      </c>
      <c r="AY20" s="115"/>
      <c r="AZ20" s="112">
        <v>0.3</v>
      </c>
      <c r="BA20" s="112">
        <v>0</v>
      </c>
      <c r="BB20" s="115"/>
      <c r="BC20" s="112">
        <v>0.3</v>
      </c>
      <c r="BD20" s="112">
        <v>0.3</v>
      </c>
      <c r="BE20" s="115"/>
      <c r="BF20" s="112">
        <v>0.3</v>
      </c>
      <c r="BG20" s="112">
        <v>0</v>
      </c>
      <c r="BH20" s="115"/>
      <c r="BI20" s="112">
        <v>0.3</v>
      </c>
      <c r="BJ20" s="112">
        <v>0.3</v>
      </c>
      <c r="BK20" s="115"/>
      <c r="BL20" s="112">
        <v>0.3</v>
      </c>
      <c r="BM20" s="112">
        <v>0.3</v>
      </c>
      <c r="BN20" s="115"/>
      <c r="BO20" s="112">
        <v>0.3</v>
      </c>
      <c r="BP20" s="112">
        <v>0.3</v>
      </c>
      <c r="BQ20" s="115"/>
      <c r="BR20" s="112">
        <v>0.3</v>
      </c>
      <c r="BS20" s="112">
        <v>0.3</v>
      </c>
      <c r="BT20" s="115"/>
      <c r="BU20" s="112">
        <v>0.3</v>
      </c>
      <c r="BV20" s="112">
        <v>0.3</v>
      </c>
      <c r="BW20" s="115"/>
      <c r="BX20" s="112">
        <v>0.3</v>
      </c>
      <c r="BY20" s="112"/>
      <c r="BZ20" s="115"/>
      <c r="CA20" s="116">
        <v>0.3</v>
      </c>
      <c r="CB20" s="112"/>
      <c r="CC20" s="115"/>
      <c r="CD20" s="116">
        <v>0.3</v>
      </c>
      <c r="CE20" s="112"/>
      <c r="CF20" s="115"/>
      <c r="CG20" s="116">
        <v>0.3</v>
      </c>
      <c r="CH20" s="112"/>
      <c r="CI20" s="115"/>
      <c r="CJ20" s="116">
        <v>0.3</v>
      </c>
      <c r="CK20" s="112"/>
      <c r="CL20" s="115"/>
      <c r="CM20" s="116">
        <v>0.3</v>
      </c>
      <c r="CN20" s="112"/>
      <c r="CO20" s="115"/>
      <c r="CP20" s="92"/>
      <c r="CQ20" s="112"/>
    </row>
    <row r="21" spans="1:95" ht="12" x14ac:dyDescent="0.25">
      <c r="A21" s="111" t="s">
        <v>74</v>
      </c>
      <c r="B21" s="159"/>
      <c r="C21" s="112"/>
      <c r="D21" s="112">
        <v>1</v>
      </c>
      <c r="E21" s="112">
        <v>0</v>
      </c>
      <c r="F21" s="112"/>
      <c r="G21" s="112">
        <v>1</v>
      </c>
      <c r="H21" s="112"/>
      <c r="I21" s="112"/>
      <c r="J21" s="112">
        <v>0.5</v>
      </c>
      <c r="K21" s="112">
        <v>0</v>
      </c>
      <c r="L21" s="114"/>
      <c r="M21" s="112">
        <v>0.5</v>
      </c>
      <c r="N21" s="112">
        <v>0</v>
      </c>
      <c r="O21" s="114"/>
      <c r="P21" s="112">
        <v>0.5</v>
      </c>
      <c r="Q21" s="112">
        <v>0</v>
      </c>
      <c r="R21" s="114"/>
      <c r="S21" s="112">
        <v>0.5</v>
      </c>
      <c r="T21" s="112">
        <v>0</v>
      </c>
      <c r="U21" s="114"/>
      <c r="V21" s="112">
        <v>0.5</v>
      </c>
      <c r="W21" s="112">
        <v>0</v>
      </c>
      <c r="X21" s="115"/>
      <c r="Y21" s="112">
        <v>0.5</v>
      </c>
      <c r="Z21" s="112">
        <v>0</v>
      </c>
      <c r="AA21" s="115"/>
      <c r="AB21" s="112">
        <v>0.5</v>
      </c>
      <c r="AC21" s="112">
        <v>0</v>
      </c>
      <c r="AD21" s="115"/>
      <c r="AE21" s="112">
        <v>0.5</v>
      </c>
      <c r="AF21" s="112"/>
      <c r="AG21" s="115"/>
      <c r="AH21" s="112">
        <v>0.5</v>
      </c>
      <c r="AI21" s="112">
        <v>0</v>
      </c>
      <c r="AJ21" s="115"/>
      <c r="AK21" s="112">
        <v>0.5</v>
      </c>
      <c r="AL21" s="112">
        <v>0</v>
      </c>
      <c r="AM21" s="115"/>
      <c r="AN21" s="112">
        <v>0.5</v>
      </c>
      <c r="AO21" s="112">
        <v>0</v>
      </c>
      <c r="AP21" s="115"/>
      <c r="AQ21" s="112">
        <v>0.3</v>
      </c>
      <c r="AR21" s="112">
        <v>0.3</v>
      </c>
      <c r="AS21" s="115"/>
      <c r="AT21" s="112">
        <v>0.3</v>
      </c>
      <c r="AU21" s="112">
        <v>0.2</v>
      </c>
      <c r="AV21" s="115"/>
      <c r="AW21" s="112">
        <v>0.3</v>
      </c>
      <c r="AX21" s="112">
        <v>0</v>
      </c>
      <c r="AY21" s="115"/>
      <c r="AZ21" s="112">
        <v>0.3</v>
      </c>
      <c r="BA21" s="112">
        <v>0.3</v>
      </c>
      <c r="BB21" s="115"/>
      <c r="BC21" s="112">
        <v>0.3</v>
      </c>
      <c r="BD21" s="112">
        <v>0.3</v>
      </c>
      <c r="BE21" s="115"/>
      <c r="BF21" s="112">
        <v>0.3</v>
      </c>
      <c r="BG21" s="112">
        <v>0</v>
      </c>
      <c r="BH21" s="115"/>
      <c r="BI21" s="112">
        <v>0.3</v>
      </c>
      <c r="BJ21" s="112">
        <v>0.3</v>
      </c>
      <c r="BK21" s="115"/>
      <c r="BL21" s="112">
        <v>0.3</v>
      </c>
      <c r="BM21" s="112">
        <v>0.3</v>
      </c>
      <c r="BN21" s="115"/>
      <c r="BO21" s="112">
        <v>0.3</v>
      </c>
      <c r="BP21" s="112">
        <v>0.3</v>
      </c>
      <c r="BQ21" s="115"/>
      <c r="BR21" s="112">
        <v>0.3</v>
      </c>
      <c r="BS21" s="112">
        <v>0.3</v>
      </c>
      <c r="BT21" s="115"/>
      <c r="BU21" s="112">
        <v>0.3</v>
      </c>
      <c r="BV21" s="112">
        <v>0.3</v>
      </c>
      <c r="BW21" s="115"/>
      <c r="BX21" s="112">
        <v>0.3</v>
      </c>
      <c r="BY21" s="112"/>
      <c r="BZ21" s="115"/>
      <c r="CA21" s="116">
        <v>0.3</v>
      </c>
      <c r="CB21" s="112"/>
      <c r="CC21" s="115"/>
      <c r="CD21" s="116">
        <v>0.3</v>
      </c>
      <c r="CE21" s="112"/>
      <c r="CF21" s="115"/>
      <c r="CG21" s="116">
        <v>0.3</v>
      </c>
      <c r="CH21" s="112"/>
      <c r="CI21" s="115"/>
      <c r="CJ21" s="116">
        <v>0.3</v>
      </c>
      <c r="CK21" s="112"/>
      <c r="CL21" s="115"/>
      <c r="CM21" s="116">
        <v>0.3</v>
      </c>
      <c r="CN21" s="112"/>
      <c r="CO21" s="115"/>
      <c r="CP21" s="92"/>
      <c r="CQ21" s="112"/>
    </row>
    <row r="22" spans="1:95" ht="12" x14ac:dyDescent="0.25">
      <c r="A22" s="111" t="s">
        <v>75</v>
      </c>
      <c r="B22" s="159"/>
      <c r="C22" s="112"/>
      <c r="D22" s="112">
        <v>1</v>
      </c>
      <c r="E22" s="112">
        <v>0</v>
      </c>
      <c r="F22" s="112"/>
      <c r="G22" s="112">
        <v>1</v>
      </c>
      <c r="H22" s="112"/>
      <c r="I22" s="112"/>
      <c r="J22" s="112">
        <v>0.5</v>
      </c>
      <c r="K22" s="112">
        <v>0</v>
      </c>
      <c r="L22" s="114"/>
      <c r="M22" s="112">
        <v>0.5</v>
      </c>
      <c r="N22" s="112">
        <v>0</v>
      </c>
      <c r="O22" s="114"/>
      <c r="P22" s="112">
        <v>0.5</v>
      </c>
      <c r="Q22" s="112">
        <v>0</v>
      </c>
      <c r="R22" s="114"/>
      <c r="S22" s="112">
        <v>0.5</v>
      </c>
      <c r="T22" s="112">
        <v>0</v>
      </c>
      <c r="U22" s="114"/>
      <c r="V22" s="112">
        <v>0.5</v>
      </c>
      <c r="W22" s="112">
        <v>0</v>
      </c>
      <c r="X22" s="115"/>
      <c r="Y22" s="112">
        <v>0.5</v>
      </c>
      <c r="Z22" s="112">
        <v>0</v>
      </c>
      <c r="AA22" s="115"/>
      <c r="AB22" s="112">
        <v>0.5</v>
      </c>
      <c r="AC22" s="112">
        <v>0</v>
      </c>
      <c r="AD22" s="115"/>
      <c r="AE22" s="112">
        <v>0.5</v>
      </c>
      <c r="AF22" s="112"/>
      <c r="AG22" s="115"/>
      <c r="AH22" s="112">
        <v>0.5</v>
      </c>
      <c r="AI22" s="112">
        <v>0</v>
      </c>
      <c r="AJ22" s="115"/>
      <c r="AK22" s="112">
        <v>0.5</v>
      </c>
      <c r="AL22" s="112">
        <v>0</v>
      </c>
      <c r="AM22" s="115"/>
      <c r="AN22" s="112">
        <v>0.5</v>
      </c>
      <c r="AO22" s="112">
        <v>0</v>
      </c>
      <c r="AP22" s="115"/>
      <c r="AQ22" s="112">
        <v>0.3</v>
      </c>
      <c r="AR22" s="112">
        <v>0.3</v>
      </c>
      <c r="AS22" s="115"/>
      <c r="AT22" s="112">
        <v>0.3</v>
      </c>
      <c r="AU22" s="112">
        <v>0.2</v>
      </c>
      <c r="AV22" s="115"/>
      <c r="AW22" s="112">
        <v>0.3</v>
      </c>
      <c r="AX22" s="112">
        <v>0.3</v>
      </c>
      <c r="AY22" s="115"/>
      <c r="AZ22" s="112">
        <v>0.3</v>
      </c>
      <c r="BA22" s="112">
        <v>0.3</v>
      </c>
      <c r="BB22" s="115"/>
      <c r="BC22" s="112">
        <v>0.3</v>
      </c>
      <c r="BD22" s="112">
        <v>0.3</v>
      </c>
      <c r="BE22" s="115"/>
      <c r="BF22" s="112">
        <v>0.3</v>
      </c>
      <c r="BG22" s="112">
        <v>0</v>
      </c>
      <c r="BH22" s="115"/>
      <c r="BI22" s="112">
        <v>0.3</v>
      </c>
      <c r="BJ22" s="112">
        <v>0.3</v>
      </c>
      <c r="BK22" s="115"/>
      <c r="BL22" s="112">
        <v>0.3</v>
      </c>
      <c r="BM22" s="112">
        <v>0.3</v>
      </c>
      <c r="BN22" s="115"/>
      <c r="BO22" s="112">
        <v>0.3</v>
      </c>
      <c r="BP22" s="112">
        <v>0.3</v>
      </c>
      <c r="BQ22" s="115"/>
      <c r="BR22" s="112">
        <v>0.3</v>
      </c>
      <c r="BS22" s="112">
        <v>0.3</v>
      </c>
      <c r="BT22" s="115"/>
      <c r="BU22" s="112">
        <v>0.3</v>
      </c>
      <c r="BV22" s="112">
        <v>0.3</v>
      </c>
      <c r="BW22" s="115"/>
      <c r="BX22" s="112">
        <v>0.3</v>
      </c>
      <c r="BY22" s="112"/>
      <c r="BZ22" s="115"/>
      <c r="CA22" s="116">
        <v>0.3</v>
      </c>
      <c r="CB22" s="112"/>
      <c r="CC22" s="115"/>
      <c r="CD22" s="116">
        <v>0.3</v>
      </c>
      <c r="CE22" s="112"/>
      <c r="CF22" s="115"/>
      <c r="CG22" s="116">
        <v>0.3</v>
      </c>
      <c r="CH22" s="112"/>
      <c r="CI22" s="115"/>
      <c r="CJ22" s="116">
        <v>0.3</v>
      </c>
      <c r="CK22" s="112"/>
      <c r="CL22" s="115"/>
      <c r="CM22" s="116">
        <v>0.3</v>
      </c>
      <c r="CN22" s="112"/>
      <c r="CO22" s="115"/>
      <c r="CP22" s="92"/>
      <c r="CQ22" s="112"/>
    </row>
    <row r="23" spans="1:95" ht="12" x14ac:dyDescent="0.25">
      <c r="A23" s="111" t="s">
        <v>76</v>
      </c>
      <c r="B23" s="159"/>
      <c r="C23" s="112"/>
      <c r="D23" s="112">
        <v>1</v>
      </c>
      <c r="E23" s="112">
        <v>0</v>
      </c>
      <c r="F23" s="112"/>
      <c r="G23" s="112">
        <v>1</v>
      </c>
      <c r="H23" s="112"/>
      <c r="I23" s="112"/>
      <c r="J23" s="112">
        <v>0.5</v>
      </c>
      <c r="K23" s="112">
        <v>0</v>
      </c>
      <c r="L23" s="114"/>
      <c r="M23" s="112">
        <v>0.5</v>
      </c>
      <c r="N23" s="112">
        <v>0</v>
      </c>
      <c r="O23" s="114"/>
      <c r="P23" s="112">
        <v>0.5</v>
      </c>
      <c r="Q23" s="112">
        <v>0</v>
      </c>
      <c r="R23" s="114"/>
      <c r="S23" s="112">
        <v>0.5</v>
      </c>
      <c r="T23" s="112">
        <v>0</v>
      </c>
      <c r="U23" s="114"/>
      <c r="V23" s="112">
        <v>0.5</v>
      </c>
      <c r="W23" s="112">
        <v>0</v>
      </c>
      <c r="X23" s="115"/>
      <c r="Y23" s="112">
        <v>0.5</v>
      </c>
      <c r="Z23" s="112">
        <v>0</v>
      </c>
      <c r="AA23" s="115"/>
      <c r="AB23" s="112">
        <v>0.5</v>
      </c>
      <c r="AC23" s="112">
        <v>0</v>
      </c>
      <c r="AD23" s="115"/>
      <c r="AE23" s="112">
        <v>0.5</v>
      </c>
      <c r="AF23" s="112"/>
      <c r="AG23" s="115"/>
      <c r="AH23" s="112">
        <v>0.5</v>
      </c>
      <c r="AI23" s="112">
        <v>0</v>
      </c>
      <c r="AJ23" s="115"/>
      <c r="AK23" s="112">
        <v>0.5</v>
      </c>
      <c r="AL23" s="112">
        <v>0</v>
      </c>
      <c r="AM23" s="115"/>
      <c r="AN23" s="112">
        <v>0.5</v>
      </c>
      <c r="AO23" s="112">
        <v>0</v>
      </c>
      <c r="AP23" s="115"/>
      <c r="AQ23" s="112">
        <v>0.3</v>
      </c>
      <c r="AR23" s="112">
        <v>0.3</v>
      </c>
      <c r="AS23" s="115"/>
      <c r="AT23" s="112">
        <v>0.3</v>
      </c>
      <c r="AU23" s="112">
        <v>0.2</v>
      </c>
      <c r="AV23" s="115"/>
      <c r="AW23" s="112">
        <v>0.3</v>
      </c>
      <c r="AX23" s="112">
        <v>0</v>
      </c>
      <c r="AY23" s="115"/>
      <c r="AZ23" s="112">
        <v>0.3</v>
      </c>
      <c r="BA23" s="112">
        <v>0</v>
      </c>
      <c r="BB23" s="115"/>
      <c r="BC23" s="112">
        <v>0.3</v>
      </c>
      <c r="BD23" s="112">
        <v>0</v>
      </c>
      <c r="BE23" s="115"/>
      <c r="BF23" s="112">
        <v>0.3</v>
      </c>
      <c r="BG23" s="112">
        <v>0</v>
      </c>
      <c r="BH23" s="115"/>
      <c r="BI23" s="112">
        <v>0.3</v>
      </c>
      <c r="BJ23" s="112">
        <v>0</v>
      </c>
      <c r="BK23" s="115"/>
      <c r="BL23" s="112">
        <v>0.3</v>
      </c>
      <c r="BM23" s="112">
        <v>0.3</v>
      </c>
      <c r="BN23" s="115"/>
      <c r="BO23" s="112">
        <v>0.3</v>
      </c>
      <c r="BP23" s="112">
        <v>0.3</v>
      </c>
      <c r="BQ23" s="115"/>
      <c r="BR23" s="112">
        <v>0.3</v>
      </c>
      <c r="BS23" s="112">
        <v>0.3</v>
      </c>
      <c r="BT23" s="115"/>
      <c r="BU23" s="112">
        <v>0.3</v>
      </c>
      <c r="BV23" s="112">
        <v>0.3</v>
      </c>
      <c r="BW23" s="115"/>
      <c r="BX23" s="112">
        <v>0.3</v>
      </c>
      <c r="BY23" s="112"/>
      <c r="BZ23" s="115"/>
      <c r="CA23" s="116">
        <v>0.3</v>
      </c>
      <c r="CB23" s="112"/>
      <c r="CC23" s="115"/>
      <c r="CD23" s="116">
        <v>0.3</v>
      </c>
      <c r="CE23" s="112"/>
      <c r="CF23" s="115"/>
      <c r="CG23" s="116">
        <v>0.3</v>
      </c>
      <c r="CH23" s="112"/>
      <c r="CI23" s="115"/>
      <c r="CJ23" s="116">
        <v>0.3</v>
      </c>
      <c r="CK23" s="112"/>
      <c r="CL23" s="115"/>
      <c r="CM23" s="116">
        <v>0.3</v>
      </c>
      <c r="CN23" s="112"/>
      <c r="CO23" s="115"/>
      <c r="CP23" s="92"/>
      <c r="CQ23" s="112"/>
    </row>
    <row r="24" spans="1:95" ht="12" x14ac:dyDescent="0.25">
      <c r="A24" s="111" t="s">
        <v>77</v>
      </c>
      <c r="B24" s="159"/>
      <c r="C24" s="112"/>
      <c r="D24" s="112">
        <v>1</v>
      </c>
      <c r="E24" s="112">
        <v>0</v>
      </c>
      <c r="F24" s="112"/>
      <c r="G24" s="112">
        <v>1</v>
      </c>
      <c r="H24" s="112"/>
      <c r="I24" s="112"/>
      <c r="J24" s="112">
        <v>0.5</v>
      </c>
      <c r="K24" s="112">
        <v>0</v>
      </c>
      <c r="L24" s="114"/>
      <c r="M24" s="112">
        <v>0.5</v>
      </c>
      <c r="N24" s="112">
        <v>0</v>
      </c>
      <c r="O24" s="114"/>
      <c r="P24" s="112">
        <v>0.5</v>
      </c>
      <c r="Q24" s="112">
        <v>0</v>
      </c>
      <c r="R24" s="114"/>
      <c r="S24" s="112">
        <v>0.5</v>
      </c>
      <c r="T24" s="112">
        <v>0</v>
      </c>
      <c r="U24" s="114"/>
      <c r="V24" s="112">
        <v>0.5</v>
      </c>
      <c r="W24" s="112">
        <v>0</v>
      </c>
      <c r="X24" s="115"/>
      <c r="Y24" s="112">
        <v>0.5</v>
      </c>
      <c r="Z24" s="112">
        <v>0</v>
      </c>
      <c r="AA24" s="115"/>
      <c r="AB24" s="112">
        <v>0.5</v>
      </c>
      <c r="AC24" s="112">
        <v>0</v>
      </c>
      <c r="AD24" s="115"/>
      <c r="AE24" s="112">
        <v>0.5</v>
      </c>
      <c r="AF24" s="112"/>
      <c r="AG24" s="115"/>
      <c r="AH24" s="112">
        <v>0.5</v>
      </c>
      <c r="AI24" s="112">
        <v>0</v>
      </c>
      <c r="AJ24" s="115"/>
      <c r="AK24" s="112">
        <v>0.5</v>
      </c>
      <c r="AL24" s="112">
        <v>0</v>
      </c>
      <c r="AM24" s="115"/>
      <c r="AN24" s="112">
        <v>0.5</v>
      </c>
      <c r="AO24" s="112">
        <v>0</v>
      </c>
      <c r="AP24" s="115"/>
      <c r="AQ24" s="112">
        <v>0.3</v>
      </c>
      <c r="AR24" s="112">
        <v>0.3</v>
      </c>
      <c r="AS24" s="115"/>
      <c r="AT24" s="112">
        <v>0.3</v>
      </c>
      <c r="AU24" s="112">
        <v>0</v>
      </c>
      <c r="AV24" s="115"/>
      <c r="AW24" s="112">
        <v>0.3</v>
      </c>
      <c r="AX24" s="112">
        <v>0</v>
      </c>
      <c r="AY24" s="115"/>
      <c r="AZ24" s="112">
        <v>0.3</v>
      </c>
      <c r="BA24" s="112">
        <v>0</v>
      </c>
      <c r="BB24" s="115"/>
      <c r="BC24" s="112">
        <v>0.3</v>
      </c>
      <c r="BD24" s="112">
        <v>0</v>
      </c>
      <c r="BE24" s="115"/>
      <c r="BF24" s="112">
        <v>0.3</v>
      </c>
      <c r="BG24" s="112">
        <v>0</v>
      </c>
      <c r="BH24" s="115"/>
      <c r="BI24" s="112">
        <v>0.3</v>
      </c>
      <c r="BJ24" s="112">
        <v>0</v>
      </c>
      <c r="BK24" s="115"/>
      <c r="BL24" s="112">
        <v>0.3</v>
      </c>
      <c r="BM24" s="112">
        <v>0.3</v>
      </c>
      <c r="BN24" s="115"/>
      <c r="BO24" s="112">
        <v>0.3</v>
      </c>
      <c r="BP24" s="112">
        <v>0.3</v>
      </c>
      <c r="BQ24" s="115"/>
      <c r="BR24" s="112">
        <v>0.3</v>
      </c>
      <c r="BS24" s="112">
        <v>0.3</v>
      </c>
      <c r="BT24" s="115"/>
      <c r="BU24" s="112">
        <v>0.3</v>
      </c>
      <c r="BV24" s="112">
        <v>0.3</v>
      </c>
      <c r="BW24" s="115"/>
      <c r="BX24" s="112">
        <v>0.3</v>
      </c>
      <c r="BY24" s="112"/>
      <c r="BZ24" s="115"/>
      <c r="CA24" s="116">
        <v>0.3</v>
      </c>
      <c r="CB24" s="112"/>
      <c r="CC24" s="115"/>
      <c r="CD24" s="116">
        <v>0.3</v>
      </c>
      <c r="CE24" s="112"/>
      <c r="CF24" s="115"/>
      <c r="CG24" s="116">
        <v>0.3</v>
      </c>
      <c r="CH24" s="112"/>
      <c r="CI24" s="115"/>
      <c r="CJ24" s="116">
        <v>0.3</v>
      </c>
      <c r="CK24" s="112"/>
      <c r="CL24" s="115"/>
      <c r="CM24" s="116">
        <v>0.3</v>
      </c>
      <c r="CN24" s="112"/>
      <c r="CO24" s="115"/>
      <c r="CP24" s="92"/>
      <c r="CQ24" s="112"/>
    </row>
    <row r="25" spans="1:95" ht="12" x14ac:dyDescent="0.25">
      <c r="A25" s="111" t="s">
        <v>78</v>
      </c>
      <c r="B25" s="159"/>
      <c r="C25" s="112"/>
      <c r="D25" s="112">
        <v>1</v>
      </c>
      <c r="E25" s="112">
        <v>0</v>
      </c>
      <c r="F25" s="112"/>
      <c r="G25" s="112">
        <v>1</v>
      </c>
      <c r="H25" s="112"/>
      <c r="I25" s="112"/>
      <c r="J25" s="112">
        <v>0.5</v>
      </c>
      <c r="K25" s="112">
        <v>0</v>
      </c>
      <c r="L25" s="114"/>
      <c r="M25" s="112">
        <v>0.5</v>
      </c>
      <c r="N25" s="112">
        <v>0</v>
      </c>
      <c r="O25" s="114"/>
      <c r="P25" s="112">
        <v>0.5</v>
      </c>
      <c r="Q25" s="112">
        <v>0</v>
      </c>
      <c r="R25" s="114"/>
      <c r="S25" s="112">
        <v>0.5</v>
      </c>
      <c r="T25" s="112">
        <v>0</v>
      </c>
      <c r="U25" s="114"/>
      <c r="V25" s="112">
        <v>0.5</v>
      </c>
      <c r="W25" s="112">
        <v>0</v>
      </c>
      <c r="X25" s="115"/>
      <c r="Y25" s="112">
        <v>0.5</v>
      </c>
      <c r="Z25" s="112">
        <v>0</v>
      </c>
      <c r="AA25" s="115"/>
      <c r="AB25" s="112">
        <v>0.5</v>
      </c>
      <c r="AC25" s="112">
        <v>0</v>
      </c>
      <c r="AD25" s="115"/>
      <c r="AE25" s="112">
        <v>0.5</v>
      </c>
      <c r="AF25" s="112"/>
      <c r="AG25" s="115"/>
      <c r="AH25" s="112">
        <v>0.5</v>
      </c>
      <c r="AI25" s="112">
        <v>0</v>
      </c>
      <c r="AJ25" s="115"/>
      <c r="AK25" s="112">
        <v>0.5</v>
      </c>
      <c r="AL25" s="112">
        <v>0</v>
      </c>
      <c r="AM25" s="115"/>
      <c r="AN25" s="112">
        <v>0.5</v>
      </c>
      <c r="AO25" s="112">
        <v>0</v>
      </c>
      <c r="AP25" s="115"/>
      <c r="AQ25" s="112">
        <v>0.3</v>
      </c>
      <c r="AR25" s="112">
        <v>0.3</v>
      </c>
      <c r="AS25" s="115"/>
      <c r="AT25" s="112">
        <v>0.3</v>
      </c>
      <c r="AU25" s="112">
        <v>0</v>
      </c>
      <c r="AV25" s="115"/>
      <c r="AW25" s="112">
        <v>0.3</v>
      </c>
      <c r="AX25" s="112">
        <v>0</v>
      </c>
      <c r="AY25" s="115"/>
      <c r="AZ25" s="112">
        <v>0.3</v>
      </c>
      <c r="BA25" s="112">
        <v>0</v>
      </c>
      <c r="BB25" s="115"/>
      <c r="BC25" s="112">
        <v>0.3</v>
      </c>
      <c r="BD25" s="112">
        <v>0</v>
      </c>
      <c r="BE25" s="115"/>
      <c r="BF25" s="112">
        <v>0.3</v>
      </c>
      <c r="BG25" s="112">
        <v>0</v>
      </c>
      <c r="BH25" s="115"/>
      <c r="BI25" s="112">
        <v>0.3</v>
      </c>
      <c r="BJ25" s="112">
        <v>0</v>
      </c>
      <c r="BK25" s="115"/>
      <c r="BL25" s="112">
        <v>0.3</v>
      </c>
      <c r="BM25" s="112">
        <v>0.3</v>
      </c>
      <c r="BN25" s="115"/>
      <c r="BO25" s="112">
        <v>0.3</v>
      </c>
      <c r="BP25" s="112">
        <v>0.3</v>
      </c>
      <c r="BQ25" s="115"/>
      <c r="BR25" s="112">
        <v>0.3</v>
      </c>
      <c r="BS25" s="112">
        <v>0</v>
      </c>
      <c r="BT25" s="115"/>
      <c r="BU25" s="112">
        <v>0.3</v>
      </c>
      <c r="BV25" s="112">
        <v>0</v>
      </c>
      <c r="BW25" s="115"/>
      <c r="BX25" s="112">
        <v>0.3</v>
      </c>
      <c r="BY25" s="112"/>
      <c r="BZ25" s="115"/>
      <c r="CA25" s="116">
        <v>0.3</v>
      </c>
      <c r="CB25" s="112"/>
      <c r="CC25" s="115"/>
      <c r="CD25" s="116">
        <v>0.3</v>
      </c>
      <c r="CE25" s="112"/>
      <c r="CF25" s="115"/>
      <c r="CG25" s="116">
        <v>0.3</v>
      </c>
      <c r="CH25" s="112"/>
      <c r="CI25" s="115"/>
      <c r="CJ25" s="116">
        <v>0.3</v>
      </c>
      <c r="CK25" s="112"/>
      <c r="CL25" s="115"/>
      <c r="CM25" s="116">
        <v>0.3</v>
      </c>
      <c r="CN25" s="112"/>
      <c r="CO25" s="115"/>
      <c r="CP25" s="92"/>
      <c r="CQ25" s="112"/>
    </row>
    <row r="26" spans="1:95" ht="12" x14ac:dyDescent="0.25">
      <c r="A26" s="111" t="s">
        <v>79</v>
      </c>
      <c r="B26" s="160"/>
      <c r="C26" s="112"/>
      <c r="D26" s="112">
        <v>1</v>
      </c>
      <c r="E26" s="112">
        <v>0</v>
      </c>
      <c r="F26" s="112"/>
      <c r="G26" s="112">
        <v>1</v>
      </c>
      <c r="H26" s="112"/>
      <c r="I26" s="112"/>
      <c r="J26" s="112">
        <v>0.5</v>
      </c>
      <c r="K26" s="112">
        <v>0</v>
      </c>
      <c r="L26" s="114"/>
      <c r="M26" s="112">
        <v>0.5</v>
      </c>
      <c r="N26" s="112">
        <v>0</v>
      </c>
      <c r="O26" s="114"/>
      <c r="P26" s="112">
        <v>0.5</v>
      </c>
      <c r="Q26" s="112">
        <v>0</v>
      </c>
      <c r="R26" s="114"/>
      <c r="S26" s="112">
        <v>0.5</v>
      </c>
      <c r="T26" s="112">
        <v>0</v>
      </c>
      <c r="U26" s="114"/>
      <c r="V26" s="112">
        <v>0.5</v>
      </c>
      <c r="W26" s="112">
        <v>0</v>
      </c>
      <c r="X26" s="115"/>
      <c r="Y26" s="112">
        <v>0.5</v>
      </c>
      <c r="Z26" s="112">
        <v>0</v>
      </c>
      <c r="AA26" s="115"/>
      <c r="AB26" s="112">
        <v>0.5</v>
      </c>
      <c r="AC26" s="112">
        <v>0</v>
      </c>
      <c r="AD26" s="115"/>
      <c r="AE26" s="112">
        <v>0.5</v>
      </c>
      <c r="AF26" s="112"/>
      <c r="AG26" s="115"/>
      <c r="AH26" s="112">
        <v>0.5</v>
      </c>
      <c r="AI26" s="112">
        <v>0</v>
      </c>
      <c r="AJ26" s="115"/>
      <c r="AK26" s="112">
        <v>0.5</v>
      </c>
      <c r="AL26" s="112">
        <v>0</v>
      </c>
      <c r="AM26" s="115"/>
      <c r="AN26" s="112">
        <v>0.5</v>
      </c>
      <c r="AO26" s="112">
        <v>0</v>
      </c>
      <c r="AP26" s="115"/>
      <c r="AQ26" s="112">
        <v>0.3</v>
      </c>
      <c r="AR26" s="112">
        <v>0</v>
      </c>
      <c r="AS26" s="115"/>
      <c r="AT26" s="112">
        <v>0.3</v>
      </c>
      <c r="AU26" s="112">
        <v>0</v>
      </c>
      <c r="AV26" s="115"/>
      <c r="AW26" s="112">
        <v>0.3</v>
      </c>
      <c r="AX26" s="112">
        <v>0</v>
      </c>
      <c r="AY26" s="115"/>
      <c r="AZ26" s="112">
        <v>0.3</v>
      </c>
      <c r="BA26" s="112">
        <v>0</v>
      </c>
      <c r="BB26" s="115"/>
      <c r="BC26" s="112">
        <v>0.3</v>
      </c>
      <c r="BD26" s="112">
        <v>0</v>
      </c>
      <c r="BE26" s="115"/>
      <c r="BF26" s="112">
        <v>0.3</v>
      </c>
      <c r="BG26" s="112">
        <v>0</v>
      </c>
      <c r="BH26" s="115"/>
      <c r="BI26" s="112">
        <v>0.3</v>
      </c>
      <c r="BJ26" s="112">
        <v>0</v>
      </c>
      <c r="BK26" s="115"/>
      <c r="BL26" s="112">
        <v>0.3</v>
      </c>
      <c r="BM26" s="112">
        <v>0.3</v>
      </c>
      <c r="BN26" s="115"/>
      <c r="BO26" s="112">
        <v>0.3</v>
      </c>
      <c r="BP26" s="112">
        <v>0.3</v>
      </c>
      <c r="BQ26" s="115"/>
      <c r="BR26" s="112">
        <v>0.3</v>
      </c>
      <c r="BS26" s="112">
        <v>0</v>
      </c>
      <c r="BT26" s="115"/>
      <c r="BU26" s="112">
        <v>0.3</v>
      </c>
      <c r="BV26" s="112">
        <v>0</v>
      </c>
      <c r="BW26" s="115"/>
      <c r="BX26" s="112">
        <v>0.3</v>
      </c>
      <c r="BY26" s="112"/>
      <c r="BZ26" s="115"/>
      <c r="CA26" s="116">
        <v>0.3</v>
      </c>
      <c r="CB26" s="112"/>
      <c r="CC26" s="115"/>
      <c r="CD26" s="116">
        <v>0.3</v>
      </c>
      <c r="CE26" s="112"/>
      <c r="CF26" s="115"/>
      <c r="CG26" s="116">
        <v>0.3</v>
      </c>
      <c r="CH26" s="112"/>
      <c r="CI26" s="115"/>
      <c r="CJ26" s="116">
        <v>0.3</v>
      </c>
      <c r="CK26" s="112"/>
      <c r="CL26" s="115"/>
      <c r="CM26" s="116">
        <v>0.3</v>
      </c>
      <c r="CN26" s="112"/>
      <c r="CO26" s="115"/>
      <c r="CP26" s="92"/>
      <c r="CQ26" s="112"/>
    </row>
    <row r="27" spans="1:95" ht="12" x14ac:dyDescent="0.25">
      <c r="A27" s="111" t="s">
        <v>80</v>
      </c>
      <c r="B27" s="158" t="s">
        <v>31</v>
      </c>
      <c r="C27" s="112"/>
      <c r="D27" s="112">
        <v>1</v>
      </c>
      <c r="E27" s="112">
        <v>0</v>
      </c>
      <c r="F27" s="112"/>
      <c r="G27" s="112">
        <v>1</v>
      </c>
      <c r="H27" s="112"/>
      <c r="I27" s="112"/>
      <c r="J27" s="112">
        <v>0.5</v>
      </c>
      <c r="K27" s="112">
        <v>0</v>
      </c>
      <c r="L27" s="114"/>
      <c r="M27" s="112">
        <v>0.5</v>
      </c>
      <c r="N27" s="112">
        <v>0</v>
      </c>
      <c r="O27" s="114"/>
      <c r="P27" s="112">
        <v>0.5</v>
      </c>
      <c r="Q27" s="112">
        <v>0</v>
      </c>
      <c r="R27" s="114"/>
      <c r="S27" s="112">
        <v>0.5</v>
      </c>
      <c r="T27" s="112">
        <v>0</v>
      </c>
      <c r="U27" s="114"/>
      <c r="V27" s="112">
        <v>0.5</v>
      </c>
      <c r="W27" s="112">
        <v>0</v>
      </c>
      <c r="X27" s="115"/>
      <c r="Y27" s="112">
        <v>0.5</v>
      </c>
      <c r="Z27" s="112">
        <v>0</v>
      </c>
      <c r="AA27" s="115"/>
      <c r="AB27" s="112">
        <v>0.5</v>
      </c>
      <c r="AC27" s="112">
        <v>0</v>
      </c>
      <c r="AD27" s="115"/>
      <c r="AE27" s="112">
        <v>0.5</v>
      </c>
      <c r="AF27" s="112"/>
      <c r="AG27" s="115"/>
      <c r="AH27" s="112">
        <v>0.5</v>
      </c>
      <c r="AI27" s="112">
        <v>0</v>
      </c>
      <c r="AJ27" s="115"/>
      <c r="AK27" s="112">
        <v>0.5</v>
      </c>
      <c r="AL27" s="112">
        <v>0</v>
      </c>
      <c r="AM27" s="115"/>
      <c r="AN27" s="112">
        <v>0.5</v>
      </c>
      <c r="AO27" s="112">
        <v>0</v>
      </c>
      <c r="AP27" s="115"/>
      <c r="AQ27" s="112">
        <v>0.5</v>
      </c>
      <c r="AR27" s="112">
        <v>0.5</v>
      </c>
      <c r="AS27" s="115"/>
      <c r="AT27" s="112">
        <v>0.5</v>
      </c>
      <c r="AU27" s="112">
        <v>0.3</v>
      </c>
      <c r="AV27" s="115"/>
      <c r="AW27" s="112">
        <v>0.5</v>
      </c>
      <c r="AX27" s="112">
        <v>0</v>
      </c>
      <c r="AY27" s="115"/>
      <c r="AZ27" s="112">
        <v>0.5</v>
      </c>
      <c r="BA27" s="112">
        <v>0</v>
      </c>
      <c r="BB27" s="115"/>
      <c r="BC27" s="112">
        <v>0.5</v>
      </c>
      <c r="BD27" s="112">
        <v>0.5</v>
      </c>
      <c r="BE27" s="115"/>
      <c r="BF27" s="112">
        <v>0.5</v>
      </c>
      <c r="BG27" s="112">
        <v>0</v>
      </c>
      <c r="BH27" s="115"/>
      <c r="BI27" s="112">
        <v>0.5</v>
      </c>
      <c r="BJ27" s="112">
        <v>0</v>
      </c>
      <c r="BK27" s="115"/>
      <c r="BL27" s="112">
        <v>0.5</v>
      </c>
      <c r="BM27" s="112">
        <v>0.2</v>
      </c>
      <c r="BN27" s="115"/>
      <c r="BO27" s="112">
        <v>0.5</v>
      </c>
      <c r="BP27" s="112">
        <v>0.2</v>
      </c>
      <c r="BQ27" s="115"/>
      <c r="BR27" s="112">
        <v>0.5</v>
      </c>
      <c r="BS27" s="112">
        <v>0</v>
      </c>
      <c r="BT27" s="115"/>
      <c r="BU27" s="112">
        <v>0.5</v>
      </c>
      <c r="BV27" s="112">
        <v>0</v>
      </c>
      <c r="BW27" s="115"/>
      <c r="BX27" s="112">
        <v>0.5</v>
      </c>
      <c r="BY27" s="112"/>
      <c r="BZ27" s="115"/>
      <c r="CA27" s="116">
        <v>0.5</v>
      </c>
      <c r="CB27" s="112"/>
      <c r="CC27" s="115"/>
      <c r="CD27" s="116">
        <v>0.5</v>
      </c>
      <c r="CE27" s="112"/>
      <c r="CF27" s="115"/>
      <c r="CG27" s="116">
        <v>0.5</v>
      </c>
      <c r="CH27" s="112"/>
      <c r="CI27" s="115"/>
      <c r="CJ27" s="116">
        <v>0.5</v>
      </c>
      <c r="CK27" s="112"/>
      <c r="CL27" s="115"/>
      <c r="CM27" s="116">
        <v>0.5</v>
      </c>
      <c r="CN27" s="112"/>
      <c r="CO27" s="115"/>
      <c r="CP27" s="92"/>
      <c r="CQ27" s="112"/>
    </row>
    <row r="28" spans="1:95" ht="12" x14ac:dyDescent="0.25">
      <c r="A28" s="111" t="s">
        <v>81</v>
      </c>
      <c r="B28" s="159"/>
      <c r="C28" s="112"/>
      <c r="D28" s="112">
        <v>1</v>
      </c>
      <c r="E28" s="112">
        <v>0</v>
      </c>
      <c r="F28" s="112"/>
      <c r="G28" s="112">
        <v>1</v>
      </c>
      <c r="H28" s="112"/>
      <c r="I28" s="112"/>
      <c r="J28" s="112">
        <v>0.5</v>
      </c>
      <c r="K28" s="112">
        <v>0</v>
      </c>
      <c r="L28" s="114"/>
      <c r="M28" s="112">
        <v>0.5</v>
      </c>
      <c r="N28" s="112">
        <v>0</v>
      </c>
      <c r="O28" s="114"/>
      <c r="P28" s="112">
        <v>0.5</v>
      </c>
      <c r="Q28" s="112">
        <v>0</v>
      </c>
      <c r="R28" s="114"/>
      <c r="S28" s="112">
        <v>0.5</v>
      </c>
      <c r="T28" s="112">
        <v>0</v>
      </c>
      <c r="U28" s="114"/>
      <c r="V28" s="112">
        <v>0.5</v>
      </c>
      <c r="W28" s="112">
        <v>0</v>
      </c>
      <c r="X28" s="115"/>
      <c r="Y28" s="112">
        <v>0.5</v>
      </c>
      <c r="Z28" s="112">
        <v>0</v>
      </c>
      <c r="AA28" s="115"/>
      <c r="AB28" s="112">
        <v>0.5</v>
      </c>
      <c r="AC28" s="112">
        <v>0</v>
      </c>
      <c r="AD28" s="115"/>
      <c r="AE28" s="112">
        <v>0.5</v>
      </c>
      <c r="AF28" s="112"/>
      <c r="AG28" s="115"/>
      <c r="AH28" s="112">
        <v>0.5</v>
      </c>
      <c r="AI28" s="112">
        <v>0</v>
      </c>
      <c r="AJ28" s="115"/>
      <c r="AK28" s="112">
        <v>0.5</v>
      </c>
      <c r="AL28" s="112">
        <v>0</v>
      </c>
      <c r="AM28" s="115"/>
      <c r="AN28" s="112">
        <v>0.5</v>
      </c>
      <c r="AO28" s="112">
        <v>0</v>
      </c>
      <c r="AP28" s="115"/>
      <c r="AQ28" s="112">
        <v>0.5</v>
      </c>
      <c r="AR28" s="112">
        <v>0</v>
      </c>
      <c r="AS28" s="115"/>
      <c r="AT28" s="112">
        <v>0.5</v>
      </c>
      <c r="AU28" s="112">
        <v>0.3</v>
      </c>
      <c r="AV28" s="115"/>
      <c r="AW28" s="112">
        <v>0.5</v>
      </c>
      <c r="AX28" s="112">
        <v>0</v>
      </c>
      <c r="AY28" s="115"/>
      <c r="AZ28" s="112">
        <v>0.5</v>
      </c>
      <c r="BA28" s="112">
        <v>0.6</v>
      </c>
      <c r="BB28" s="115"/>
      <c r="BC28" s="112">
        <v>0.5</v>
      </c>
      <c r="BD28" s="112">
        <v>0</v>
      </c>
      <c r="BE28" s="115"/>
      <c r="BF28" s="112">
        <v>0.5</v>
      </c>
      <c r="BG28" s="112">
        <v>0</v>
      </c>
      <c r="BH28" s="115"/>
      <c r="BI28" s="112">
        <v>0.5</v>
      </c>
      <c r="BJ28" s="112">
        <v>0</v>
      </c>
      <c r="BK28" s="115"/>
      <c r="BL28" s="112">
        <v>0.5</v>
      </c>
      <c r="BM28" s="112">
        <v>0.2</v>
      </c>
      <c r="BN28" s="115"/>
      <c r="BO28" s="112">
        <v>0.5</v>
      </c>
      <c r="BP28" s="112">
        <v>0.2</v>
      </c>
      <c r="BQ28" s="115"/>
      <c r="BR28" s="112">
        <v>0.5</v>
      </c>
      <c r="BS28" s="112">
        <v>0</v>
      </c>
      <c r="BT28" s="115"/>
      <c r="BU28" s="112">
        <v>0.5</v>
      </c>
      <c r="BV28" s="112">
        <v>0.3</v>
      </c>
      <c r="BW28" s="115"/>
      <c r="BX28" s="112">
        <v>0.5</v>
      </c>
      <c r="BY28" s="112"/>
      <c r="BZ28" s="115"/>
      <c r="CA28" s="116">
        <v>0.5</v>
      </c>
      <c r="CB28" s="112"/>
      <c r="CC28" s="115"/>
      <c r="CD28" s="116">
        <v>0.5</v>
      </c>
      <c r="CE28" s="112"/>
      <c r="CF28" s="115"/>
      <c r="CG28" s="116">
        <v>0.5</v>
      </c>
      <c r="CH28" s="112"/>
      <c r="CI28" s="115"/>
      <c r="CJ28" s="116">
        <v>0.5</v>
      </c>
      <c r="CK28" s="112"/>
      <c r="CL28" s="115"/>
      <c r="CM28" s="116">
        <v>0.5</v>
      </c>
      <c r="CN28" s="112"/>
      <c r="CO28" s="115"/>
      <c r="CP28" s="92"/>
      <c r="CQ28" s="112"/>
    </row>
    <row r="29" spans="1:95" ht="12" x14ac:dyDescent="0.25">
      <c r="A29" s="111" t="s">
        <v>82</v>
      </c>
      <c r="B29" s="159"/>
      <c r="C29" s="112"/>
      <c r="D29" s="112">
        <v>1</v>
      </c>
      <c r="E29" s="112">
        <v>0</v>
      </c>
      <c r="F29" s="112"/>
      <c r="G29" s="112">
        <v>1</v>
      </c>
      <c r="H29" s="112"/>
      <c r="I29" s="112"/>
      <c r="J29" s="112">
        <v>0</v>
      </c>
      <c r="K29" s="112">
        <v>0</v>
      </c>
      <c r="L29" s="114"/>
      <c r="M29" s="112">
        <v>0.5</v>
      </c>
      <c r="N29" s="112">
        <v>0</v>
      </c>
      <c r="O29" s="114"/>
      <c r="P29" s="112">
        <v>0.5</v>
      </c>
      <c r="Q29" s="112">
        <v>0</v>
      </c>
      <c r="R29" s="114"/>
      <c r="S29" s="112">
        <v>0.5</v>
      </c>
      <c r="T29" s="112">
        <v>0</v>
      </c>
      <c r="U29" s="114"/>
      <c r="V29" s="112">
        <v>0.5</v>
      </c>
      <c r="W29" s="112">
        <v>0</v>
      </c>
      <c r="X29" s="115"/>
      <c r="Y29" s="112">
        <v>0.5</v>
      </c>
      <c r="Z29" s="112">
        <v>0</v>
      </c>
      <c r="AA29" s="115"/>
      <c r="AB29" s="112">
        <v>0.5</v>
      </c>
      <c r="AC29" s="112">
        <v>0</v>
      </c>
      <c r="AD29" s="115"/>
      <c r="AE29" s="112">
        <v>0.5</v>
      </c>
      <c r="AF29" s="112"/>
      <c r="AG29" s="115"/>
      <c r="AH29" s="112">
        <v>0.5</v>
      </c>
      <c r="AI29" s="112">
        <v>0</v>
      </c>
      <c r="AJ29" s="115"/>
      <c r="AK29" s="112">
        <v>0.5</v>
      </c>
      <c r="AL29" s="112">
        <v>0</v>
      </c>
      <c r="AM29" s="115"/>
      <c r="AN29" s="112">
        <v>0.5</v>
      </c>
      <c r="AO29" s="112">
        <v>0</v>
      </c>
      <c r="AP29" s="115"/>
      <c r="AQ29" s="112">
        <v>0.5</v>
      </c>
      <c r="AR29" s="112">
        <v>0</v>
      </c>
      <c r="AS29" s="115"/>
      <c r="AT29" s="112">
        <v>0.5</v>
      </c>
      <c r="AU29" s="112">
        <v>0</v>
      </c>
      <c r="AV29" s="115"/>
      <c r="AW29" s="112">
        <v>0.5</v>
      </c>
      <c r="AX29" s="112">
        <v>0</v>
      </c>
      <c r="AY29" s="115"/>
      <c r="AZ29" s="112">
        <v>0</v>
      </c>
      <c r="BA29" s="112">
        <v>0.6</v>
      </c>
      <c r="BB29" s="115"/>
      <c r="BC29" s="112">
        <v>0</v>
      </c>
      <c r="BD29" s="112">
        <v>0</v>
      </c>
      <c r="BE29" s="115"/>
      <c r="BF29" s="112">
        <v>0</v>
      </c>
      <c r="BG29" s="112">
        <v>0</v>
      </c>
      <c r="BH29" s="115"/>
      <c r="BI29" s="112">
        <v>0</v>
      </c>
      <c r="BJ29" s="112">
        <v>0.5</v>
      </c>
      <c r="BK29" s="115"/>
      <c r="BL29" s="112">
        <v>0.5</v>
      </c>
      <c r="BM29" s="112">
        <v>0.2</v>
      </c>
      <c r="BN29" s="115"/>
      <c r="BO29" s="112">
        <v>0.5</v>
      </c>
      <c r="BP29" s="112">
        <v>0.2</v>
      </c>
      <c r="BQ29" s="115"/>
      <c r="BR29" s="112">
        <v>0.5</v>
      </c>
      <c r="BS29" s="112">
        <v>0.4</v>
      </c>
      <c r="BT29" s="115"/>
      <c r="BU29" s="112">
        <v>0.5</v>
      </c>
      <c r="BV29" s="112">
        <v>0</v>
      </c>
      <c r="BW29" s="115"/>
      <c r="BX29" s="112">
        <v>0.5</v>
      </c>
      <c r="BY29" s="112"/>
      <c r="BZ29" s="115"/>
      <c r="CA29" s="116">
        <v>0.5</v>
      </c>
      <c r="CB29" s="112"/>
      <c r="CC29" s="115"/>
      <c r="CD29" s="116">
        <v>0.5</v>
      </c>
      <c r="CE29" s="112"/>
      <c r="CF29" s="115"/>
      <c r="CG29" s="116">
        <v>0.5</v>
      </c>
      <c r="CH29" s="112"/>
      <c r="CI29" s="115"/>
      <c r="CJ29" s="116">
        <v>0.5</v>
      </c>
      <c r="CK29" s="112"/>
      <c r="CL29" s="115"/>
      <c r="CM29" s="116">
        <v>0.5</v>
      </c>
      <c r="CN29" s="112"/>
      <c r="CO29" s="115"/>
      <c r="CP29" s="92"/>
      <c r="CQ29" s="112"/>
    </row>
    <row r="30" spans="1:95" ht="12" x14ac:dyDescent="0.25">
      <c r="A30" s="111" t="s">
        <v>83</v>
      </c>
      <c r="B30" s="160"/>
      <c r="C30" s="112"/>
      <c r="D30" s="112">
        <v>0</v>
      </c>
      <c r="E30" s="112">
        <v>0</v>
      </c>
      <c r="F30" s="112"/>
      <c r="G30" s="112">
        <v>1</v>
      </c>
      <c r="H30" s="112"/>
      <c r="I30" s="112"/>
      <c r="J30" s="112">
        <v>0</v>
      </c>
      <c r="K30" s="112">
        <v>0</v>
      </c>
      <c r="L30" s="114"/>
      <c r="M30" s="112">
        <v>0.5</v>
      </c>
      <c r="N30" s="112">
        <v>0</v>
      </c>
      <c r="O30" s="114"/>
      <c r="P30" s="112">
        <v>0.5</v>
      </c>
      <c r="Q30" s="112">
        <v>0</v>
      </c>
      <c r="R30" s="114"/>
      <c r="S30" s="112">
        <v>0.5</v>
      </c>
      <c r="T30" s="112">
        <v>0</v>
      </c>
      <c r="U30" s="114"/>
      <c r="V30" s="112">
        <v>0</v>
      </c>
      <c r="W30" s="112">
        <v>0</v>
      </c>
      <c r="X30" s="115"/>
      <c r="Y30" s="112">
        <v>0</v>
      </c>
      <c r="Z30" s="112">
        <v>0</v>
      </c>
      <c r="AA30" s="115"/>
      <c r="AB30" s="112">
        <v>0</v>
      </c>
      <c r="AC30" s="112">
        <v>0</v>
      </c>
      <c r="AD30" s="115"/>
      <c r="AE30" s="112">
        <v>0.5</v>
      </c>
      <c r="AF30" s="112"/>
      <c r="AG30" s="115"/>
      <c r="AH30" s="112">
        <v>0.5</v>
      </c>
      <c r="AI30" s="112">
        <v>0</v>
      </c>
      <c r="AJ30" s="115"/>
      <c r="AK30" s="112">
        <v>0.5</v>
      </c>
      <c r="AL30" s="112">
        <v>0</v>
      </c>
      <c r="AM30" s="115"/>
      <c r="AN30" s="112">
        <v>0.5</v>
      </c>
      <c r="AO30" s="112">
        <v>0</v>
      </c>
      <c r="AP30" s="115"/>
      <c r="AQ30" s="112">
        <v>0.5</v>
      </c>
      <c r="AR30" s="112">
        <v>0</v>
      </c>
      <c r="AS30" s="115"/>
      <c r="AT30" s="112">
        <v>0.5</v>
      </c>
      <c r="AU30" s="112">
        <v>0</v>
      </c>
      <c r="AV30" s="115"/>
      <c r="AW30" s="112">
        <v>0</v>
      </c>
      <c r="AX30" s="112">
        <v>0</v>
      </c>
      <c r="AY30" s="115"/>
      <c r="AZ30" s="112">
        <v>0</v>
      </c>
      <c r="BA30" s="112">
        <v>0</v>
      </c>
      <c r="BB30" s="115"/>
      <c r="BC30" s="112">
        <v>0</v>
      </c>
      <c r="BD30" s="112">
        <v>0.5</v>
      </c>
      <c r="BE30" s="115"/>
      <c r="BF30" s="112">
        <v>0</v>
      </c>
      <c r="BG30" s="112">
        <v>0</v>
      </c>
      <c r="BH30" s="115"/>
      <c r="BI30" s="112">
        <v>0</v>
      </c>
      <c r="BJ30" s="112">
        <v>0.5</v>
      </c>
      <c r="BK30" s="115"/>
      <c r="BL30" s="112">
        <v>0.5</v>
      </c>
      <c r="BM30" s="112">
        <v>0.2</v>
      </c>
      <c r="BN30" s="115"/>
      <c r="BO30" s="112">
        <v>0.5</v>
      </c>
      <c r="BP30" s="112">
        <v>0.2</v>
      </c>
      <c r="BQ30" s="115"/>
      <c r="BR30" s="112">
        <v>0.5</v>
      </c>
      <c r="BS30" s="112">
        <v>0.4</v>
      </c>
      <c r="BT30" s="115"/>
      <c r="BU30" s="112">
        <v>0.5</v>
      </c>
      <c r="BV30" s="112">
        <v>0.3</v>
      </c>
      <c r="BW30" s="115"/>
      <c r="BX30" s="112">
        <v>0.5</v>
      </c>
      <c r="BY30" s="112"/>
      <c r="BZ30" s="115"/>
      <c r="CA30" s="116">
        <v>0.5</v>
      </c>
      <c r="CB30" s="112"/>
      <c r="CC30" s="115"/>
      <c r="CD30" s="116">
        <v>0.5</v>
      </c>
      <c r="CE30" s="112"/>
      <c r="CF30" s="115"/>
      <c r="CG30" s="116">
        <v>0.5</v>
      </c>
      <c r="CH30" s="112"/>
      <c r="CI30" s="115"/>
      <c r="CJ30" s="116">
        <v>0</v>
      </c>
      <c r="CK30" s="112"/>
      <c r="CL30" s="115"/>
      <c r="CM30" s="116">
        <v>0</v>
      </c>
      <c r="CN30" s="112"/>
      <c r="CO30" s="115"/>
      <c r="CP30" s="92"/>
      <c r="CQ30" s="112"/>
    </row>
    <row r="31" spans="1:95" ht="12" x14ac:dyDescent="0.25">
      <c r="A31" s="111" t="s">
        <v>84</v>
      </c>
      <c r="B31" s="158" t="s">
        <v>28</v>
      </c>
      <c r="C31" s="112"/>
      <c r="D31" s="112">
        <v>0</v>
      </c>
      <c r="E31" s="112">
        <v>0</v>
      </c>
      <c r="F31" s="112"/>
      <c r="G31" s="112">
        <v>0</v>
      </c>
      <c r="H31" s="112"/>
      <c r="I31" s="112"/>
      <c r="J31" s="112">
        <v>0</v>
      </c>
      <c r="K31" s="112">
        <v>0.5</v>
      </c>
      <c r="L31" s="114"/>
      <c r="M31" s="112">
        <v>0.5</v>
      </c>
      <c r="N31" s="112">
        <v>0</v>
      </c>
      <c r="O31" s="114"/>
      <c r="P31" s="112">
        <v>0.5</v>
      </c>
      <c r="Q31" s="112">
        <v>0</v>
      </c>
      <c r="R31" s="114"/>
      <c r="S31" s="112">
        <v>0.5</v>
      </c>
      <c r="T31" s="112">
        <v>0</v>
      </c>
      <c r="U31" s="114"/>
      <c r="V31" s="112">
        <v>0</v>
      </c>
      <c r="W31" s="112">
        <v>0</v>
      </c>
      <c r="X31" s="115"/>
      <c r="Y31" s="112">
        <v>0</v>
      </c>
      <c r="Z31" s="112">
        <v>0</v>
      </c>
      <c r="AA31" s="115"/>
      <c r="AB31" s="112">
        <v>0</v>
      </c>
      <c r="AC31" s="112">
        <v>0</v>
      </c>
      <c r="AD31" s="115"/>
      <c r="AE31" s="112">
        <v>0.5</v>
      </c>
      <c r="AF31" s="112"/>
      <c r="AG31" s="115"/>
      <c r="AH31" s="112">
        <v>0.5</v>
      </c>
      <c r="AI31" s="112">
        <v>0</v>
      </c>
      <c r="AJ31" s="115"/>
      <c r="AK31" s="112">
        <v>0.5</v>
      </c>
      <c r="AL31" s="112">
        <v>0</v>
      </c>
      <c r="AM31" s="115"/>
      <c r="AN31" s="112">
        <v>0.5</v>
      </c>
      <c r="AO31" s="112">
        <v>0</v>
      </c>
      <c r="AP31" s="115"/>
      <c r="AQ31" s="112">
        <v>0.5</v>
      </c>
      <c r="AR31" s="112">
        <v>0.5</v>
      </c>
      <c r="AS31" s="115"/>
      <c r="AT31" s="112">
        <v>0.5</v>
      </c>
      <c r="AU31" s="112">
        <v>0</v>
      </c>
      <c r="AV31" s="115"/>
      <c r="AW31" s="112">
        <v>0</v>
      </c>
      <c r="AX31" s="112">
        <v>0</v>
      </c>
      <c r="AY31" s="115"/>
      <c r="AZ31" s="112">
        <v>0</v>
      </c>
      <c r="BA31" s="112">
        <v>0</v>
      </c>
      <c r="BB31" s="115"/>
      <c r="BC31" s="112">
        <v>0</v>
      </c>
      <c r="BD31" s="112">
        <v>0.6</v>
      </c>
      <c r="BE31" s="115"/>
      <c r="BF31" s="112">
        <v>0.5</v>
      </c>
      <c r="BG31" s="112">
        <v>0</v>
      </c>
      <c r="BH31" s="115"/>
      <c r="BI31" s="112">
        <v>0.5</v>
      </c>
      <c r="BJ31" s="112">
        <v>0</v>
      </c>
      <c r="BK31" s="115"/>
      <c r="BL31" s="112">
        <v>0.5</v>
      </c>
      <c r="BM31" s="112">
        <v>0.2</v>
      </c>
      <c r="BN31" s="115"/>
      <c r="BO31" s="112">
        <v>0.5</v>
      </c>
      <c r="BP31" s="112">
        <v>0.2</v>
      </c>
      <c r="BQ31" s="115"/>
      <c r="BR31" s="112">
        <v>0.5</v>
      </c>
      <c r="BS31" s="112">
        <v>0.1</v>
      </c>
      <c r="BT31" s="115"/>
      <c r="BU31" s="112">
        <v>0.5</v>
      </c>
      <c r="BV31" s="112">
        <v>0.1</v>
      </c>
      <c r="BW31" s="115"/>
      <c r="BX31" s="112">
        <v>0.5</v>
      </c>
      <c r="BY31" s="112"/>
      <c r="BZ31" s="115"/>
      <c r="CA31" s="116">
        <v>0.5</v>
      </c>
      <c r="CB31" s="112"/>
      <c r="CC31" s="115"/>
      <c r="CD31" s="116">
        <v>0.5</v>
      </c>
      <c r="CE31" s="112"/>
      <c r="CF31" s="115"/>
      <c r="CG31" s="116">
        <v>0.5</v>
      </c>
      <c r="CH31" s="112"/>
      <c r="CI31" s="115"/>
      <c r="CJ31" s="116">
        <v>0.5</v>
      </c>
      <c r="CK31" s="112"/>
      <c r="CL31" s="115"/>
      <c r="CM31" s="116">
        <v>0.5</v>
      </c>
      <c r="CN31" s="112"/>
      <c r="CO31" s="115"/>
      <c r="CP31" s="92"/>
      <c r="CQ31" s="112"/>
    </row>
    <row r="32" spans="1:95" ht="12" x14ac:dyDescent="0.25">
      <c r="A32" s="111" t="s">
        <v>85</v>
      </c>
      <c r="B32" s="159"/>
      <c r="C32" s="112"/>
      <c r="D32" s="112">
        <v>0</v>
      </c>
      <c r="E32" s="112">
        <v>0</v>
      </c>
      <c r="F32" s="112"/>
      <c r="G32" s="112">
        <v>0</v>
      </c>
      <c r="H32" s="112"/>
      <c r="I32" s="112"/>
      <c r="J32" s="112">
        <v>0</v>
      </c>
      <c r="K32" s="112">
        <v>0.5</v>
      </c>
      <c r="L32" s="114"/>
      <c r="M32" s="112">
        <v>0.5</v>
      </c>
      <c r="N32" s="112">
        <v>0</v>
      </c>
      <c r="O32" s="114"/>
      <c r="P32" s="112">
        <v>0.5</v>
      </c>
      <c r="Q32" s="112">
        <v>0</v>
      </c>
      <c r="R32" s="114"/>
      <c r="S32" s="112">
        <v>0</v>
      </c>
      <c r="T32" s="112">
        <v>0</v>
      </c>
      <c r="U32" s="114"/>
      <c r="V32" s="112">
        <v>0</v>
      </c>
      <c r="W32" s="112">
        <v>0</v>
      </c>
      <c r="X32" s="115"/>
      <c r="Y32" s="112">
        <v>0</v>
      </c>
      <c r="Z32" s="112">
        <v>0</v>
      </c>
      <c r="AA32" s="115"/>
      <c r="AB32" s="112">
        <v>0</v>
      </c>
      <c r="AC32" s="112">
        <v>0</v>
      </c>
      <c r="AD32" s="115"/>
      <c r="AE32" s="112">
        <v>0.5</v>
      </c>
      <c r="AF32" s="112"/>
      <c r="AG32" s="115"/>
      <c r="AH32" s="112">
        <v>0.5</v>
      </c>
      <c r="AI32" s="112">
        <v>0</v>
      </c>
      <c r="AJ32" s="115"/>
      <c r="AK32" s="112">
        <v>0.5</v>
      </c>
      <c r="AL32" s="112">
        <v>0</v>
      </c>
      <c r="AM32" s="115"/>
      <c r="AN32" s="112">
        <v>0.5</v>
      </c>
      <c r="AO32" s="112">
        <v>0</v>
      </c>
      <c r="AP32" s="115"/>
      <c r="AQ32" s="112">
        <v>0</v>
      </c>
      <c r="AR32" s="112">
        <v>0.5</v>
      </c>
      <c r="AS32" s="115"/>
      <c r="AT32" s="112">
        <v>0</v>
      </c>
      <c r="AU32" s="112">
        <v>0</v>
      </c>
      <c r="AV32" s="115"/>
      <c r="AW32" s="112">
        <v>0</v>
      </c>
      <c r="AX32" s="112">
        <v>0</v>
      </c>
      <c r="AY32" s="115"/>
      <c r="AZ32" s="112">
        <v>0</v>
      </c>
      <c r="BA32" s="112">
        <v>0</v>
      </c>
      <c r="BB32" s="115"/>
      <c r="BC32" s="112">
        <v>0</v>
      </c>
      <c r="BD32" s="112">
        <v>0.6</v>
      </c>
      <c r="BE32" s="115"/>
      <c r="BF32" s="112">
        <v>0</v>
      </c>
      <c r="BG32" s="112">
        <v>0.6</v>
      </c>
      <c r="BH32" s="115"/>
      <c r="BI32" s="112">
        <v>0.5</v>
      </c>
      <c r="BJ32" s="112">
        <v>0</v>
      </c>
      <c r="BK32" s="115"/>
      <c r="BL32" s="112">
        <v>0</v>
      </c>
      <c r="BM32" s="112">
        <v>0.7</v>
      </c>
      <c r="BN32" s="115"/>
      <c r="BO32" s="112">
        <v>0.5</v>
      </c>
      <c r="BP32" s="112">
        <v>0.7</v>
      </c>
      <c r="BQ32" s="115"/>
      <c r="BR32" s="112">
        <v>0.5</v>
      </c>
      <c r="BS32" s="112">
        <v>0.1</v>
      </c>
      <c r="BT32" s="115"/>
      <c r="BU32" s="112">
        <v>0</v>
      </c>
      <c r="BV32" s="112">
        <v>0.5</v>
      </c>
      <c r="BW32" s="115"/>
      <c r="BX32" s="112">
        <v>0.5</v>
      </c>
      <c r="BY32" s="112"/>
      <c r="BZ32" s="115"/>
      <c r="CA32" s="116">
        <v>0.5</v>
      </c>
      <c r="CB32" s="112"/>
      <c r="CC32" s="115"/>
      <c r="CD32" s="116">
        <v>0.5</v>
      </c>
      <c r="CE32" s="112"/>
      <c r="CF32" s="115"/>
      <c r="CG32" s="116">
        <v>0.5</v>
      </c>
      <c r="CH32" s="112"/>
      <c r="CI32" s="115"/>
      <c r="CJ32" s="116">
        <v>0</v>
      </c>
      <c r="CK32" s="112"/>
      <c r="CL32" s="115"/>
      <c r="CM32" s="116">
        <v>0</v>
      </c>
      <c r="CN32" s="112"/>
      <c r="CO32" s="115"/>
      <c r="CP32" s="92"/>
      <c r="CQ32" s="112"/>
    </row>
    <row r="33" spans="1:95" ht="12" x14ac:dyDescent="0.25">
      <c r="A33" s="111" t="s">
        <v>86</v>
      </c>
      <c r="B33" s="159"/>
      <c r="C33" s="112"/>
      <c r="D33" s="112">
        <v>0</v>
      </c>
      <c r="E33" s="112">
        <v>0</v>
      </c>
      <c r="F33" s="112"/>
      <c r="G33" s="112">
        <v>0</v>
      </c>
      <c r="H33" s="112"/>
      <c r="I33" s="112"/>
      <c r="J33" s="112">
        <v>0</v>
      </c>
      <c r="K33" s="112">
        <v>0</v>
      </c>
      <c r="L33" s="114"/>
      <c r="M33" s="112">
        <v>0.5</v>
      </c>
      <c r="N33" s="112">
        <v>0</v>
      </c>
      <c r="O33" s="114"/>
      <c r="P33" s="112">
        <v>0.5</v>
      </c>
      <c r="Q33" s="112">
        <v>0</v>
      </c>
      <c r="R33" s="114"/>
      <c r="S33" s="112">
        <v>0</v>
      </c>
      <c r="T33" s="112">
        <v>0</v>
      </c>
      <c r="U33" s="114"/>
      <c r="V33" s="112">
        <v>0</v>
      </c>
      <c r="W33" s="112">
        <v>0</v>
      </c>
      <c r="X33" s="115"/>
      <c r="Y33" s="112">
        <v>0</v>
      </c>
      <c r="Z33" s="112">
        <v>0</v>
      </c>
      <c r="AA33" s="115"/>
      <c r="AB33" s="112">
        <v>0</v>
      </c>
      <c r="AC33" s="112">
        <v>0</v>
      </c>
      <c r="AD33" s="115"/>
      <c r="AE33" s="112">
        <v>0</v>
      </c>
      <c r="AF33" s="112"/>
      <c r="AG33" s="115"/>
      <c r="AH33" s="112">
        <v>0.5</v>
      </c>
      <c r="AI33" s="112">
        <v>0</v>
      </c>
      <c r="AJ33" s="115"/>
      <c r="AK33" s="112">
        <v>0</v>
      </c>
      <c r="AL33" s="112">
        <v>0.6</v>
      </c>
      <c r="AM33" s="115"/>
      <c r="AN33" s="112">
        <v>0</v>
      </c>
      <c r="AO33" s="112">
        <v>0.6</v>
      </c>
      <c r="AP33" s="115"/>
      <c r="AQ33" s="112">
        <v>0.5</v>
      </c>
      <c r="AR33" s="112">
        <v>0.5</v>
      </c>
      <c r="AS33" s="115"/>
      <c r="AT33" s="112">
        <v>0</v>
      </c>
      <c r="AU33" s="112">
        <v>0</v>
      </c>
      <c r="AV33" s="115"/>
      <c r="AW33" s="112">
        <v>0</v>
      </c>
      <c r="AX33" s="112">
        <v>0</v>
      </c>
      <c r="AY33" s="115"/>
      <c r="AZ33" s="112">
        <v>0</v>
      </c>
      <c r="BA33" s="112">
        <v>0</v>
      </c>
      <c r="BB33" s="115"/>
      <c r="BC33" s="112">
        <v>0</v>
      </c>
      <c r="BD33" s="112">
        <v>0.6</v>
      </c>
      <c r="BE33" s="115"/>
      <c r="BF33" s="112">
        <v>0</v>
      </c>
      <c r="BG33" s="112">
        <v>0.6</v>
      </c>
      <c r="BH33" s="115"/>
      <c r="BI33" s="112">
        <v>0</v>
      </c>
      <c r="BJ33" s="112">
        <v>0.6</v>
      </c>
      <c r="BK33" s="115"/>
      <c r="BL33" s="112">
        <v>0</v>
      </c>
      <c r="BM33" s="112">
        <v>0.7</v>
      </c>
      <c r="BN33" s="115"/>
      <c r="BO33" s="112">
        <v>0</v>
      </c>
      <c r="BP33" s="112">
        <v>0.7</v>
      </c>
      <c r="BQ33" s="115"/>
      <c r="BR33" s="112">
        <v>0</v>
      </c>
      <c r="BS33" s="112">
        <v>0.6</v>
      </c>
      <c r="BT33" s="115"/>
      <c r="BU33" s="112">
        <v>0</v>
      </c>
      <c r="BV33" s="112">
        <v>0</v>
      </c>
      <c r="BW33" s="115"/>
      <c r="BX33" s="112">
        <v>0.5</v>
      </c>
      <c r="BY33" s="112"/>
      <c r="BZ33" s="115"/>
      <c r="CA33" s="116">
        <v>0</v>
      </c>
      <c r="CB33" s="112"/>
      <c r="CC33" s="115"/>
      <c r="CD33" s="116">
        <v>0.5</v>
      </c>
      <c r="CE33" s="112"/>
      <c r="CF33" s="115"/>
      <c r="CG33" s="116">
        <v>0.5</v>
      </c>
      <c r="CH33" s="112"/>
      <c r="CI33" s="115"/>
      <c r="CJ33" s="116">
        <v>0</v>
      </c>
      <c r="CK33" s="112"/>
      <c r="CL33" s="115"/>
      <c r="CM33" s="116">
        <v>0</v>
      </c>
      <c r="CN33" s="112"/>
      <c r="CO33" s="115"/>
      <c r="CP33" s="92"/>
      <c r="CQ33" s="112"/>
    </row>
    <row r="34" spans="1:95" ht="12" x14ac:dyDescent="0.25">
      <c r="A34" s="111" t="s">
        <v>87</v>
      </c>
      <c r="B34" s="159"/>
      <c r="C34" s="112"/>
      <c r="D34" s="112">
        <v>0</v>
      </c>
      <c r="E34" s="112">
        <v>0</v>
      </c>
      <c r="F34" s="112"/>
      <c r="G34" s="112">
        <v>0</v>
      </c>
      <c r="H34" s="112"/>
      <c r="I34" s="112"/>
      <c r="J34" s="112">
        <v>0</v>
      </c>
      <c r="K34" s="112">
        <v>0</v>
      </c>
      <c r="L34" s="114"/>
      <c r="M34" s="112">
        <v>0</v>
      </c>
      <c r="N34" s="112">
        <v>0</v>
      </c>
      <c r="O34" s="114"/>
      <c r="P34" s="112">
        <v>0</v>
      </c>
      <c r="Q34" s="112">
        <v>0</v>
      </c>
      <c r="R34" s="114"/>
      <c r="S34" s="112">
        <v>0</v>
      </c>
      <c r="T34" s="112">
        <v>0</v>
      </c>
      <c r="U34" s="114"/>
      <c r="V34" s="112">
        <v>0</v>
      </c>
      <c r="W34" s="112">
        <v>0</v>
      </c>
      <c r="X34" s="115"/>
      <c r="Y34" s="112">
        <v>0</v>
      </c>
      <c r="Z34" s="112">
        <v>0</v>
      </c>
      <c r="AA34" s="115"/>
      <c r="AB34" s="112">
        <v>0</v>
      </c>
      <c r="AC34" s="112">
        <v>0</v>
      </c>
      <c r="AD34" s="115"/>
      <c r="AE34" s="112">
        <v>0</v>
      </c>
      <c r="AF34" s="112"/>
      <c r="AG34" s="115"/>
      <c r="AH34" s="112">
        <v>0.5</v>
      </c>
      <c r="AI34" s="112">
        <v>0</v>
      </c>
      <c r="AJ34" s="115"/>
      <c r="AK34" s="112">
        <v>0</v>
      </c>
      <c r="AL34" s="112">
        <v>0</v>
      </c>
      <c r="AM34" s="115"/>
      <c r="AN34" s="112">
        <v>0</v>
      </c>
      <c r="AO34" s="112">
        <v>0.6</v>
      </c>
      <c r="AP34" s="115"/>
      <c r="AQ34" s="112">
        <v>0</v>
      </c>
      <c r="AR34" s="112">
        <v>0</v>
      </c>
      <c r="AS34" s="115"/>
      <c r="AT34" s="112">
        <v>0</v>
      </c>
      <c r="AU34" s="112">
        <v>0</v>
      </c>
      <c r="AV34" s="115"/>
      <c r="AW34" s="112">
        <v>0</v>
      </c>
      <c r="AX34" s="112">
        <v>0</v>
      </c>
      <c r="AY34" s="115"/>
      <c r="AZ34" s="112">
        <v>0</v>
      </c>
      <c r="BA34" s="112">
        <v>0</v>
      </c>
      <c r="BB34" s="115"/>
      <c r="BC34" s="112">
        <v>0</v>
      </c>
      <c r="BD34" s="112">
        <v>0</v>
      </c>
      <c r="BE34" s="115"/>
      <c r="BF34" s="112">
        <v>0</v>
      </c>
      <c r="BG34" s="112">
        <v>0</v>
      </c>
      <c r="BH34" s="115"/>
      <c r="BI34" s="112">
        <v>0</v>
      </c>
      <c r="BJ34" s="112">
        <v>0.6</v>
      </c>
      <c r="BK34" s="115"/>
      <c r="BL34" s="112">
        <v>0</v>
      </c>
      <c r="BM34" s="112">
        <v>0</v>
      </c>
      <c r="BN34" s="115"/>
      <c r="BO34" s="112">
        <v>0</v>
      </c>
      <c r="BP34" s="112">
        <v>0</v>
      </c>
      <c r="BQ34" s="115"/>
      <c r="BR34" s="112">
        <v>0</v>
      </c>
      <c r="BS34" s="112">
        <v>0</v>
      </c>
      <c r="BT34" s="115"/>
      <c r="BU34" s="112">
        <v>0</v>
      </c>
      <c r="BV34" s="112">
        <v>0</v>
      </c>
      <c r="BW34" s="115"/>
      <c r="BX34" s="112">
        <v>0</v>
      </c>
      <c r="BY34" s="112"/>
      <c r="BZ34" s="115"/>
      <c r="CA34" s="116">
        <v>0</v>
      </c>
      <c r="CB34" s="112"/>
      <c r="CC34" s="115"/>
      <c r="CD34" s="116">
        <v>0</v>
      </c>
      <c r="CE34" s="112"/>
      <c r="CF34" s="115"/>
      <c r="CG34" s="116">
        <v>0.5</v>
      </c>
      <c r="CH34" s="112"/>
      <c r="CI34" s="115"/>
      <c r="CJ34" s="116">
        <v>0</v>
      </c>
      <c r="CK34" s="112"/>
      <c r="CL34" s="115"/>
      <c r="CM34" s="116">
        <v>0</v>
      </c>
      <c r="CN34" s="112"/>
      <c r="CO34" s="115"/>
      <c r="CP34" s="92"/>
      <c r="CQ34" s="112"/>
    </row>
    <row r="35" spans="1:95" ht="12" x14ac:dyDescent="0.25">
      <c r="A35" s="111" t="s">
        <v>88</v>
      </c>
      <c r="B35" s="159"/>
      <c r="C35" s="112"/>
      <c r="D35" s="112">
        <v>0</v>
      </c>
      <c r="E35" s="112">
        <v>0</v>
      </c>
      <c r="F35" s="112"/>
      <c r="G35" s="112">
        <v>0</v>
      </c>
      <c r="H35" s="112"/>
      <c r="I35" s="112"/>
      <c r="J35" s="112">
        <v>0</v>
      </c>
      <c r="K35" s="112">
        <v>0</v>
      </c>
      <c r="L35" s="114"/>
      <c r="M35" s="112">
        <v>0</v>
      </c>
      <c r="N35" s="112">
        <v>0</v>
      </c>
      <c r="O35" s="114"/>
      <c r="P35" s="112">
        <v>0</v>
      </c>
      <c r="Q35" s="112">
        <v>0</v>
      </c>
      <c r="R35" s="114"/>
      <c r="S35" s="112">
        <v>0</v>
      </c>
      <c r="T35" s="112">
        <v>0</v>
      </c>
      <c r="U35" s="114"/>
      <c r="V35" s="112">
        <v>0</v>
      </c>
      <c r="W35" s="112">
        <v>0</v>
      </c>
      <c r="X35" s="115"/>
      <c r="Y35" s="112">
        <v>0</v>
      </c>
      <c r="Z35" s="112">
        <v>0</v>
      </c>
      <c r="AA35" s="115"/>
      <c r="AB35" s="112">
        <v>0</v>
      </c>
      <c r="AC35" s="112">
        <v>0</v>
      </c>
      <c r="AD35" s="115"/>
      <c r="AE35" s="112">
        <v>0</v>
      </c>
      <c r="AF35" s="112"/>
      <c r="AG35" s="115"/>
      <c r="AH35" s="112">
        <v>0.5</v>
      </c>
      <c r="AI35" s="112">
        <v>0</v>
      </c>
      <c r="AJ35" s="115"/>
      <c r="AK35" s="112">
        <v>0</v>
      </c>
      <c r="AL35" s="112">
        <v>0.6</v>
      </c>
      <c r="AM35" s="115"/>
      <c r="AN35" s="112">
        <v>0</v>
      </c>
      <c r="AO35" s="112">
        <v>0</v>
      </c>
      <c r="AP35" s="115"/>
      <c r="AQ35" s="112">
        <v>0</v>
      </c>
      <c r="AR35" s="112">
        <v>0</v>
      </c>
      <c r="AS35" s="115"/>
      <c r="AT35" s="112">
        <v>0</v>
      </c>
      <c r="AU35" s="112">
        <v>0</v>
      </c>
      <c r="AV35" s="115"/>
      <c r="AW35" s="112">
        <v>0</v>
      </c>
      <c r="AX35" s="112">
        <v>0</v>
      </c>
      <c r="AY35" s="115"/>
      <c r="AZ35" s="112">
        <v>0</v>
      </c>
      <c r="BA35" s="112">
        <v>0</v>
      </c>
      <c r="BB35" s="115"/>
      <c r="BC35" s="112">
        <v>0</v>
      </c>
      <c r="BD35" s="112">
        <v>0</v>
      </c>
      <c r="BE35" s="115"/>
      <c r="BF35" s="112">
        <v>0</v>
      </c>
      <c r="BG35" s="112">
        <v>0</v>
      </c>
      <c r="BH35" s="115"/>
      <c r="BI35" s="112">
        <v>0</v>
      </c>
      <c r="BJ35" s="112">
        <v>0</v>
      </c>
      <c r="BK35" s="115"/>
      <c r="BL35" s="112">
        <v>0</v>
      </c>
      <c r="BM35" s="112">
        <v>0</v>
      </c>
      <c r="BN35" s="115"/>
      <c r="BO35" s="112">
        <v>0</v>
      </c>
      <c r="BP35" s="112">
        <v>0</v>
      </c>
      <c r="BQ35" s="115"/>
      <c r="BR35" s="112">
        <v>0</v>
      </c>
      <c r="BS35" s="112">
        <v>0</v>
      </c>
      <c r="BT35" s="115"/>
      <c r="BU35" s="112">
        <v>0</v>
      </c>
      <c r="BV35" s="112">
        <v>0</v>
      </c>
      <c r="BW35" s="115"/>
      <c r="BX35" s="112">
        <v>0</v>
      </c>
      <c r="BY35" s="112"/>
      <c r="BZ35" s="115"/>
      <c r="CA35" s="116">
        <v>0</v>
      </c>
      <c r="CB35" s="112"/>
      <c r="CC35" s="115"/>
      <c r="CD35" s="116">
        <v>0</v>
      </c>
      <c r="CE35" s="112"/>
      <c r="CF35" s="115"/>
      <c r="CG35" s="116">
        <v>0</v>
      </c>
      <c r="CH35" s="112"/>
      <c r="CI35" s="115"/>
      <c r="CJ35" s="116">
        <v>0</v>
      </c>
      <c r="CK35" s="112"/>
      <c r="CL35" s="115"/>
      <c r="CM35" s="116">
        <v>0</v>
      </c>
      <c r="CN35" s="112"/>
      <c r="CO35" s="115"/>
      <c r="CP35" s="92"/>
      <c r="CQ35" s="112"/>
    </row>
    <row r="36" spans="1:95" ht="12" x14ac:dyDescent="0.25">
      <c r="A36" s="111" t="s">
        <v>89</v>
      </c>
      <c r="B36" s="159"/>
      <c r="C36" s="112"/>
      <c r="D36" s="112">
        <v>0</v>
      </c>
      <c r="E36" s="112">
        <v>0</v>
      </c>
      <c r="F36" s="112"/>
      <c r="G36" s="112">
        <v>0</v>
      </c>
      <c r="H36" s="112"/>
      <c r="I36" s="112"/>
      <c r="J36" s="112">
        <v>0</v>
      </c>
      <c r="K36" s="112">
        <v>0</v>
      </c>
      <c r="L36" s="114"/>
      <c r="M36" s="112">
        <v>0</v>
      </c>
      <c r="N36" s="112">
        <v>0</v>
      </c>
      <c r="O36" s="114"/>
      <c r="P36" s="112">
        <v>0</v>
      </c>
      <c r="Q36" s="112">
        <v>0</v>
      </c>
      <c r="R36" s="114"/>
      <c r="S36" s="112">
        <v>0</v>
      </c>
      <c r="T36" s="112">
        <v>0</v>
      </c>
      <c r="U36" s="114"/>
      <c r="V36" s="112">
        <v>0</v>
      </c>
      <c r="W36" s="112">
        <v>0</v>
      </c>
      <c r="X36" s="115"/>
      <c r="Y36" s="112">
        <v>0</v>
      </c>
      <c r="Z36" s="112">
        <v>0</v>
      </c>
      <c r="AA36" s="115"/>
      <c r="AB36" s="112">
        <v>0</v>
      </c>
      <c r="AC36" s="112">
        <v>0</v>
      </c>
      <c r="AD36" s="115"/>
      <c r="AE36" s="112">
        <v>0</v>
      </c>
      <c r="AF36" s="112"/>
      <c r="AG36" s="115"/>
      <c r="AH36" s="112">
        <v>0</v>
      </c>
      <c r="AI36" s="112">
        <v>0</v>
      </c>
      <c r="AJ36" s="115"/>
      <c r="AK36" s="112">
        <v>0</v>
      </c>
      <c r="AL36" s="112">
        <v>0.6</v>
      </c>
      <c r="AM36" s="115"/>
      <c r="AN36" s="112">
        <v>0</v>
      </c>
      <c r="AO36" s="112">
        <v>0</v>
      </c>
      <c r="AP36" s="115"/>
      <c r="AQ36" s="112">
        <v>0</v>
      </c>
      <c r="AR36" s="112">
        <v>0</v>
      </c>
      <c r="AS36" s="115"/>
      <c r="AT36" s="112">
        <v>0</v>
      </c>
      <c r="AU36" s="112">
        <v>0</v>
      </c>
      <c r="AV36" s="115"/>
      <c r="AW36" s="112">
        <v>0</v>
      </c>
      <c r="AX36" s="112">
        <v>0</v>
      </c>
      <c r="AY36" s="115"/>
      <c r="AZ36" s="112">
        <v>0</v>
      </c>
      <c r="BA36" s="112">
        <v>0</v>
      </c>
      <c r="BB36" s="115"/>
      <c r="BC36" s="112">
        <v>0</v>
      </c>
      <c r="BD36" s="112">
        <v>0</v>
      </c>
      <c r="BE36" s="115"/>
      <c r="BF36" s="112">
        <v>0</v>
      </c>
      <c r="BG36" s="112">
        <v>0</v>
      </c>
      <c r="BH36" s="115"/>
      <c r="BI36" s="112">
        <v>0</v>
      </c>
      <c r="BJ36" s="112">
        <v>0</v>
      </c>
      <c r="BK36" s="115"/>
      <c r="BL36" s="112">
        <v>0</v>
      </c>
      <c r="BM36" s="112">
        <v>0</v>
      </c>
      <c r="BN36" s="115"/>
      <c r="BO36" s="112">
        <v>0</v>
      </c>
      <c r="BP36" s="112">
        <v>0</v>
      </c>
      <c r="BQ36" s="115"/>
      <c r="BR36" s="112">
        <v>0</v>
      </c>
      <c r="BS36" s="112">
        <v>0</v>
      </c>
      <c r="BT36" s="115"/>
      <c r="BU36" s="112">
        <v>0</v>
      </c>
      <c r="BV36" s="112">
        <v>0</v>
      </c>
      <c r="BW36" s="115"/>
      <c r="BX36" s="112">
        <v>0</v>
      </c>
      <c r="BY36" s="112"/>
      <c r="BZ36" s="115"/>
      <c r="CA36" s="116">
        <v>0</v>
      </c>
      <c r="CB36" s="112"/>
      <c r="CC36" s="115"/>
      <c r="CD36" s="116">
        <v>0</v>
      </c>
      <c r="CE36" s="112"/>
      <c r="CF36" s="115"/>
      <c r="CG36" s="116">
        <v>0</v>
      </c>
      <c r="CH36" s="112"/>
      <c r="CI36" s="115"/>
      <c r="CJ36" s="116">
        <v>0</v>
      </c>
      <c r="CK36" s="112"/>
      <c r="CL36" s="115"/>
      <c r="CM36" s="116">
        <v>0</v>
      </c>
      <c r="CN36" s="112"/>
      <c r="CO36" s="115"/>
      <c r="CP36" s="92"/>
      <c r="CQ36" s="112"/>
    </row>
    <row r="37" spans="1:95" ht="12" x14ac:dyDescent="0.25">
      <c r="A37" s="111" t="s">
        <v>90</v>
      </c>
      <c r="B37" s="159"/>
      <c r="C37" s="112"/>
      <c r="D37" s="112">
        <v>0</v>
      </c>
      <c r="E37" s="112">
        <v>0</v>
      </c>
      <c r="F37" s="112"/>
      <c r="G37" s="112">
        <v>0</v>
      </c>
      <c r="H37" s="112"/>
      <c r="I37" s="112"/>
      <c r="J37" s="112">
        <v>0</v>
      </c>
      <c r="K37" s="112">
        <v>0</v>
      </c>
      <c r="L37" s="114"/>
      <c r="M37" s="112">
        <v>0</v>
      </c>
      <c r="N37" s="112">
        <v>0</v>
      </c>
      <c r="O37" s="114"/>
      <c r="P37" s="112">
        <v>0</v>
      </c>
      <c r="Q37" s="112">
        <v>0</v>
      </c>
      <c r="R37" s="114"/>
      <c r="S37" s="112">
        <v>0</v>
      </c>
      <c r="T37" s="112">
        <v>0</v>
      </c>
      <c r="U37" s="114"/>
      <c r="V37" s="112">
        <v>0</v>
      </c>
      <c r="W37" s="112">
        <v>0</v>
      </c>
      <c r="X37" s="115"/>
      <c r="Y37" s="112">
        <v>0</v>
      </c>
      <c r="Z37" s="112">
        <v>0</v>
      </c>
      <c r="AA37" s="115"/>
      <c r="AB37" s="112">
        <v>0</v>
      </c>
      <c r="AC37" s="112">
        <v>0</v>
      </c>
      <c r="AD37" s="115"/>
      <c r="AE37" s="112">
        <v>0</v>
      </c>
      <c r="AF37" s="112"/>
      <c r="AG37" s="115"/>
      <c r="AH37" s="112">
        <v>0</v>
      </c>
      <c r="AI37" s="112">
        <v>0</v>
      </c>
      <c r="AJ37" s="115"/>
      <c r="AK37" s="112">
        <v>0</v>
      </c>
      <c r="AL37" s="112">
        <v>0.6</v>
      </c>
      <c r="AM37" s="115"/>
      <c r="AN37" s="112">
        <v>0</v>
      </c>
      <c r="AO37" s="112">
        <v>0</v>
      </c>
      <c r="AP37" s="115"/>
      <c r="AQ37" s="112">
        <v>0</v>
      </c>
      <c r="AR37" s="112">
        <v>0</v>
      </c>
      <c r="AS37" s="115"/>
      <c r="AT37" s="112">
        <v>0</v>
      </c>
      <c r="AU37" s="112">
        <v>0</v>
      </c>
      <c r="AV37" s="115"/>
      <c r="AW37" s="112">
        <v>0</v>
      </c>
      <c r="AX37" s="112">
        <v>0</v>
      </c>
      <c r="AY37" s="115"/>
      <c r="AZ37" s="112">
        <v>0</v>
      </c>
      <c r="BA37" s="112">
        <v>0</v>
      </c>
      <c r="BB37" s="115"/>
      <c r="BC37" s="112">
        <v>0</v>
      </c>
      <c r="BD37" s="112">
        <v>0</v>
      </c>
      <c r="BE37" s="115"/>
      <c r="BF37" s="112">
        <v>0</v>
      </c>
      <c r="BG37" s="112">
        <v>0</v>
      </c>
      <c r="BH37" s="115"/>
      <c r="BI37" s="112">
        <v>0</v>
      </c>
      <c r="BJ37" s="112">
        <v>0</v>
      </c>
      <c r="BK37" s="115"/>
      <c r="BL37" s="112">
        <v>0</v>
      </c>
      <c r="BM37" s="112">
        <v>0</v>
      </c>
      <c r="BN37" s="115"/>
      <c r="BO37" s="112">
        <v>0</v>
      </c>
      <c r="BP37" s="112">
        <v>0</v>
      </c>
      <c r="BQ37" s="115"/>
      <c r="BR37" s="112">
        <v>0</v>
      </c>
      <c r="BS37" s="112">
        <v>0</v>
      </c>
      <c r="BT37" s="115"/>
      <c r="BU37" s="112">
        <v>0</v>
      </c>
      <c r="BV37" s="112">
        <v>0</v>
      </c>
      <c r="BW37" s="115"/>
      <c r="BX37" s="112">
        <v>0</v>
      </c>
      <c r="BY37" s="112"/>
      <c r="BZ37" s="115"/>
      <c r="CA37" s="116">
        <v>0</v>
      </c>
      <c r="CB37" s="112"/>
      <c r="CC37" s="115"/>
      <c r="CD37" s="116">
        <v>0</v>
      </c>
      <c r="CE37" s="112"/>
      <c r="CF37" s="115"/>
      <c r="CG37" s="116">
        <v>0</v>
      </c>
      <c r="CH37" s="112"/>
      <c r="CI37" s="115"/>
      <c r="CJ37" s="116">
        <v>0</v>
      </c>
      <c r="CK37" s="112"/>
      <c r="CL37" s="115"/>
      <c r="CM37" s="116">
        <v>0</v>
      </c>
      <c r="CN37" s="112"/>
      <c r="CO37" s="115"/>
      <c r="CP37" s="92"/>
      <c r="CQ37" s="112"/>
    </row>
    <row r="38" spans="1:95" ht="12" x14ac:dyDescent="0.25">
      <c r="A38" s="111" t="s">
        <v>91</v>
      </c>
      <c r="B38" s="159"/>
      <c r="C38" s="112"/>
      <c r="D38" s="112">
        <v>0</v>
      </c>
      <c r="E38" s="112">
        <v>0</v>
      </c>
      <c r="F38" s="112"/>
      <c r="G38" s="112">
        <v>0</v>
      </c>
      <c r="H38" s="112"/>
      <c r="I38" s="112"/>
      <c r="J38" s="112">
        <v>0</v>
      </c>
      <c r="K38" s="112">
        <v>0</v>
      </c>
      <c r="L38" s="114"/>
      <c r="M38" s="112">
        <v>0</v>
      </c>
      <c r="N38" s="112">
        <v>0</v>
      </c>
      <c r="O38" s="114"/>
      <c r="P38" s="112">
        <v>0</v>
      </c>
      <c r="Q38" s="112">
        <v>0</v>
      </c>
      <c r="R38" s="114"/>
      <c r="S38" s="112">
        <v>0</v>
      </c>
      <c r="T38" s="112">
        <v>0</v>
      </c>
      <c r="U38" s="114"/>
      <c r="V38" s="112">
        <v>0</v>
      </c>
      <c r="W38" s="112">
        <v>0</v>
      </c>
      <c r="X38" s="115"/>
      <c r="Y38" s="112">
        <v>0</v>
      </c>
      <c r="Z38" s="112">
        <v>0</v>
      </c>
      <c r="AA38" s="115"/>
      <c r="AB38" s="112">
        <v>0</v>
      </c>
      <c r="AC38" s="112">
        <v>0</v>
      </c>
      <c r="AD38" s="115"/>
      <c r="AE38" s="112">
        <v>0</v>
      </c>
      <c r="AF38" s="112"/>
      <c r="AG38" s="115"/>
      <c r="AH38" s="112">
        <v>0</v>
      </c>
      <c r="AI38" s="112">
        <v>0</v>
      </c>
      <c r="AJ38" s="115"/>
      <c r="AK38" s="112">
        <v>0</v>
      </c>
      <c r="AL38" s="112">
        <v>0</v>
      </c>
      <c r="AM38" s="115"/>
      <c r="AN38" s="112">
        <v>0</v>
      </c>
      <c r="AO38" s="112">
        <v>0</v>
      </c>
      <c r="AP38" s="115"/>
      <c r="AQ38" s="112">
        <v>0</v>
      </c>
      <c r="AR38" s="112">
        <v>0</v>
      </c>
      <c r="AS38" s="115"/>
      <c r="AT38" s="112">
        <v>0</v>
      </c>
      <c r="AU38" s="112">
        <v>0</v>
      </c>
      <c r="AV38" s="115"/>
      <c r="AW38" s="112">
        <v>0</v>
      </c>
      <c r="AX38" s="112">
        <v>0</v>
      </c>
      <c r="AY38" s="115"/>
      <c r="AZ38" s="112">
        <v>0</v>
      </c>
      <c r="BA38" s="112">
        <v>0</v>
      </c>
      <c r="BB38" s="115"/>
      <c r="BC38" s="112">
        <v>0</v>
      </c>
      <c r="BD38" s="112">
        <v>0</v>
      </c>
      <c r="BE38" s="115"/>
      <c r="BF38" s="112">
        <v>0</v>
      </c>
      <c r="BG38" s="112">
        <v>0</v>
      </c>
      <c r="BH38" s="115"/>
      <c r="BI38" s="112">
        <v>0</v>
      </c>
      <c r="BJ38" s="112">
        <v>0</v>
      </c>
      <c r="BK38" s="115"/>
      <c r="BL38" s="112">
        <v>0</v>
      </c>
      <c r="BM38" s="112">
        <v>0</v>
      </c>
      <c r="BN38" s="115"/>
      <c r="BO38" s="112">
        <v>0</v>
      </c>
      <c r="BP38" s="112">
        <v>0</v>
      </c>
      <c r="BQ38" s="115"/>
      <c r="BR38" s="112">
        <v>0</v>
      </c>
      <c r="BS38" s="112">
        <v>0</v>
      </c>
      <c r="BT38" s="115"/>
      <c r="BU38" s="112">
        <v>0</v>
      </c>
      <c r="BV38" s="112">
        <v>0</v>
      </c>
      <c r="BW38" s="115"/>
      <c r="BX38" s="112">
        <v>0</v>
      </c>
      <c r="BY38" s="112"/>
      <c r="BZ38" s="115"/>
      <c r="CA38" s="116">
        <v>0</v>
      </c>
      <c r="CB38" s="112"/>
      <c r="CC38" s="115"/>
      <c r="CD38" s="116">
        <v>0</v>
      </c>
      <c r="CE38" s="112"/>
      <c r="CF38" s="115"/>
      <c r="CG38" s="116">
        <v>0</v>
      </c>
      <c r="CH38" s="112"/>
      <c r="CI38" s="115"/>
      <c r="CJ38" s="116">
        <v>0</v>
      </c>
      <c r="CK38" s="112"/>
      <c r="CL38" s="115"/>
      <c r="CM38" s="116">
        <v>0</v>
      </c>
      <c r="CN38" s="112"/>
      <c r="CO38" s="115"/>
      <c r="CP38" s="92"/>
      <c r="CQ38" s="112"/>
    </row>
    <row r="39" spans="1:95" ht="12" x14ac:dyDescent="0.25">
      <c r="A39" s="111" t="s">
        <v>92</v>
      </c>
      <c r="B39" s="159"/>
      <c r="C39" s="112"/>
      <c r="D39" s="112">
        <v>0</v>
      </c>
      <c r="E39" s="112">
        <v>0</v>
      </c>
      <c r="F39" s="112"/>
      <c r="G39" s="112">
        <v>0</v>
      </c>
      <c r="H39" s="112"/>
      <c r="I39" s="112"/>
      <c r="J39" s="112">
        <v>0</v>
      </c>
      <c r="K39" s="112">
        <v>0.5</v>
      </c>
      <c r="L39" s="114"/>
      <c r="M39" s="112">
        <v>0</v>
      </c>
      <c r="N39" s="112">
        <v>0</v>
      </c>
      <c r="O39" s="114"/>
      <c r="P39" s="112">
        <v>0</v>
      </c>
      <c r="Q39" s="112">
        <v>0</v>
      </c>
      <c r="R39" s="114"/>
      <c r="S39" s="112">
        <v>0</v>
      </c>
      <c r="T39" s="112">
        <v>0</v>
      </c>
      <c r="U39" s="114"/>
      <c r="V39" s="112">
        <v>0</v>
      </c>
      <c r="W39" s="112">
        <v>0</v>
      </c>
      <c r="X39" s="115"/>
      <c r="Y39" s="112">
        <v>0</v>
      </c>
      <c r="Z39" s="112">
        <v>0</v>
      </c>
      <c r="AA39" s="115"/>
      <c r="AB39" s="112">
        <v>0</v>
      </c>
      <c r="AC39" s="112">
        <v>0</v>
      </c>
      <c r="AD39" s="115"/>
      <c r="AE39" s="112">
        <v>0</v>
      </c>
      <c r="AF39" s="112"/>
      <c r="AG39" s="115"/>
      <c r="AH39" s="112">
        <v>0</v>
      </c>
      <c r="AI39" s="112">
        <v>0</v>
      </c>
      <c r="AJ39" s="115"/>
      <c r="AK39" s="112">
        <v>0</v>
      </c>
      <c r="AL39" s="112">
        <v>0</v>
      </c>
      <c r="AM39" s="115"/>
      <c r="AN39" s="112">
        <v>0</v>
      </c>
      <c r="AO39" s="112">
        <v>0</v>
      </c>
      <c r="AP39" s="115"/>
      <c r="AQ39" s="112">
        <v>0</v>
      </c>
      <c r="AR39" s="112">
        <v>0</v>
      </c>
      <c r="AS39" s="115"/>
      <c r="AT39" s="112">
        <v>0</v>
      </c>
      <c r="AU39" s="112">
        <v>0</v>
      </c>
      <c r="AV39" s="115"/>
      <c r="AW39" s="112">
        <v>0</v>
      </c>
      <c r="AX39" s="112">
        <v>0</v>
      </c>
      <c r="AY39" s="115"/>
      <c r="AZ39" s="112">
        <v>0</v>
      </c>
      <c r="BA39" s="112">
        <v>0</v>
      </c>
      <c r="BB39" s="115"/>
      <c r="BC39" s="112">
        <v>0</v>
      </c>
      <c r="BD39" s="112">
        <v>0</v>
      </c>
      <c r="BE39" s="115"/>
      <c r="BF39" s="112">
        <v>0</v>
      </c>
      <c r="BG39" s="112">
        <v>0</v>
      </c>
      <c r="BH39" s="115"/>
      <c r="BI39" s="112">
        <v>0</v>
      </c>
      <c r="BJ39" s="112">
        <v>0</v>
      </c>
      <c r="BK39" s="115"/>
      <c r="BL39" s="112">
        <v>0</v>
      </c>
      <c r="BM39" s="112">
        <v>0</v>
      </c>
      <c r="BN39" s="115"/>
      <c r="BO39" s="112">
        <v>0</v>
      </c>
      <c r="BP39" s="112">
        <v>0</v>
      </c>
      <c r="BQ39" s="115"/>
      <c r="BR39" s="112">
        <v>0</v>
      </c>
      <c r="BS39" s="112">
        <v>0</v>
      </c>
      <c r="BT39" s="115"/>
      <c r="BU39" s="112">
        <v>0</v>
      </c>
      <c r="BV39" s="112">
        <v>0</v>
      </c>
      <c r="BW39" s="115"/>
      <c r="BX39" s="112">
        <v>0</v>
      </c>
      <c r="BY39" s="112"/>
      <c r="BZ39" s="115"/>
      <c r="CA39" s="116">
        <v>0</v>
      </c>
      <c r="CB39" s="112"/>
      <c r="CC39" s="115"/>
      <c r="CD39" s="116">
        <v>0</v>
      </c>
      <c r="CE39" s="112"/>
      <c r="CF39" s="115"/>
      <c r="CG39" s="116">
        <v>0</v>
      </c>
      <c r="CH39" s="112"/>
      <c r="CI39" s="115"/>
      <c r="CJ39" s="116">
        <v>0</v>
      </c>
      <c r="CK39" s="112"/>
      <c r="CL39" s="115"/>
      <c r="CM39" s="116">
        <v>0</v>
      </c>
      <c r="CN39" s="112"/>
      <c r="CO39" s="115"/>
      <c r="CP39" s="92"/>
      <c r="CQ39" s="112"/>
    </row>
    <row r="40" spans="1:95" ht="12" x14ac:dyDescent="0.25">
      <c r="A40" s="111" t="s">
        <v>93</v>
      </c>
      <c r="B40" s="159"/>
      <c r="C40" s="112"/>
      <c r="D40" s="112">
        <v>0</v>
      </c>
      <c r="E40" s="112">
        <v>0</v>
      </c>
      <c r="F40" s="112"/>
      <c r="G40" s="112">
        <v>0</v>
      </c>
      <c r="H40" s="112"/>
      <c r="I40" s="112"/>
      <c r="J40" s="112">
        <v>0</v>
      </c>
      <c r="K40" s="112">
        <v>0.5</v>
      </c>
      <c r="L40" s="114"/>
      <c r="M40" s="112">
        <v>0</v>
      </c>
      <c r="N40" s="112">
        <v>0</v>
      </c>
      <c r="O40" s="114"/>
      <c r="P40" s="112">
        <v>0</v>
      </c>
      <c r="Q40" s="112">
        <v>0</v>
      </c>
      <c r="R40" s="114"/>
      <c r="S40" s="112">
        <v>0</v>
      </c>
      <c r="T40" s="112">
        <v>0</v>
      </c>
      <c r="U40" s="114"/>
      <c r="V40" s="112">
        <v>0</v>
      </c>
      <c r="W40" s="112">
        <v>0</v>
      </c>
      <c r="X40" s="115"/>
      <c r="Y40" s="112">
        <v>0</v>
      </c>
      <c r="Z40" s="112">
        <v>0</v>
      </c>
      <c r="AA40" s="115"/>
      <c r="AB40" s="112">
        <v>0</v>
      </c>
      <c r="AC40" s="112">
        <v>0</v>
      </c>
      <c r="AD40" s="115"/>
      <c r="AE40" s="112">
        <v>0</v>
      </c>
      <c r="AF40" s="112"/>
      <c r="AG40" s="115"/>
      <c r="AH40" s="112">
        <v>0</v>
      </c>
      <c r="AI40" s="112">
        <v>0</v>
      </c>
      <c r="AJ40" s="115"/>
      <c r="AK40" s="112">
        <v>0</v>
      </c>
      <c r="AL40" s="112">
        <v>0</v>
      </c>
      <c r="AM40" s="115"/>
      <c r="AN40" s="112">
        <v>0</v>
      </c>
      <c r="AO40" s="112">
        <v>0</v>
      </c>
      <c r="AP40" s="115"/>
      <c r="AQ40" s="112">
        <v>0</v>
      </c>
      <c r="AR40" s="112">
        <v>0</v>
      </c>
      <c r="AS40" s="115"/>
      <c r="AT40" s="112">
        <v>0</v>
      </c>
      <c r="AU40" s="112">
        <v>0</v>
      </c>
      <c r="AV40" s="115"/>
      <c r="AW40" s="112">
        <v>0</v>
      </c>
      <c r="AX40" s="112">
        <v>0</v>
      </c>
      <c r="AY40" s="115"/>
      <c r="AZ40" s="112">
        <v>0</v>
      </c>
      <c r="BA40" s="112">
        <v>0</v>
      </c>
      <c r="BB40" s="115"/>
      <c r="BC40" s="112">
        <v>0</v>
      </c>
      <c r="BD40" s="112">
        <v>0</v>
      </c>
      <c r="BE40" s="115"/>
      <c r="BF40" s="112">
        <v>0</v>
      </c>
      <c r="BG40" s="112">
        <v>0</v>
      </c>
      <c r="BH40" s="115"/>
      <c r="BI40" s="112">
        <v>0</v>
      </c>
      <c r="BJ40" s="112">
        <v>0</v>
      </c>
      <c r="BK40" s="115"/>
      <c r="BL40" s="112">
        <v>0</v>
      </c>
      <c r="BM40" s="112">
        <v>0</v>
      </c>
      <c r="BN40" s="115"/>
      <c r="BO40" s="112">
        <v>0</v>
      </c>
      <c r="BP40" s="112">
        <v>0</v>
      </c>
      <c r="BQ40" s="115"/>
      <c r="BR40" s="112">
        <v>0</v>
      </c>
      <c r="BS40" s="112">
        <v>0</v>
      </c>
      <c r="BT40" s="115"/>
      <c r="BU40" s="112">
        <v>0</v>
      </c>
      <c r="BV40" s="112">
        <v>0</v>
      </c>
      <c r="BW40" s="115"/>
      <c r="BX40" s="112">
        <v>0</v>
      </c>
      <c r="BY40" s="112"/>
      <c r="BZ40" s="115"/>
      <c r="CA40" s="116">
        <v>0</v>
      </c>
      <c r="CB40" s="112"/>
      <c r="CC40" s="115"/>
      <c r="CD40" s="116">
        <v>0</v>
      </c>
      <c r="CE40" s="112"/>
      <c r="CF40" s="115"/>
      <c r="CG40" s="116">
        <v>0</v>
      </c>
      <c r="CH40" s="112"/>
      <c r="CI40" s="115"/>
      <c r="CJ40" s="116">
        <v>0</v>
      </c>
      <c r="CK40" s="112"/>
      <c r="CL40" s="115"/>
      <c r="CM40" s="116">
        <v>0</v>
      </c>
      <c r="CN40" s="112"/>
      <c r="CO40" s="115"/>
      <c r="CP40" s="92"/>
      <c r="CQ40" s="112"/>
    </row>
    <row r="41" spans="1:95" ht="12" x14ac:dyDescent="0.25">
      <c r="A41" s="111" t="s">
        <v>94</v>
      </c>
      <c r="B41" s="159"/>
      <c r="C41" s="112"/>
      <c r="D41" s="112">
        <v>0</v>
      </c>
      <c r="E41" s="112">
        <v>0</v>
      </c>
      <c r="F41" s="112"/>
      <c r="G41" s="112">
        <v>0</v>
      </c>
      <c r="H41" s="112"/>
      <c r="I41" s="112"/>
      <c r="J41" s="112">
        <v>0</v>
      </c>
      <c r="K41" s="112">
        <v>0</v>
      </c>
      <c r="L41" s="114"/>
      <c r="M41" s="112">
        <v>0</v>
      </c>
      <c r="N41" s="112">
        <v>0</v>
      </c>
      <c r="O41" s="114"/>
      <c r="P41" s="112">
        <v>0</v>
      </c>
      <c r="Q41" s="112">
        <v>0</v>
      </c>
      <c r="R41" s="114"/>
      <c r="S41" s="112">
        <v>0</v>
      </c>
      <c r="T41" s="112">
        <v>0</v>
      </c>
      <c r="U41" s="114"/>
      <c r="V41" s="112">
        <v>0</v>
      </c>
      <c r="W41" s="112">
        <v>0</v>
      </c>
      <c r="X41" s="115"/>
      <c r="Y41" s="112">
        <v>0</v>
      </c>
      <c r="Z41" s="112">
        <v>0</v>
      </c>
      <c r="AA41" s="115"/>
      <c r="AB41" s="112">
        <v>0</v>
      </c>
      <c r="AC41" s="112">
        <v>0</v>
      </c>
      <c r="AD41" s="115"/>
      <c r="AE41" s="112">
        <v>0</v>
      </c>
      <c r="AF41" s="112"/>
      <c r="AG41" s="115"/>
      <c r="AH41" s="112">
        <v>0</v>
      </c>
      <c r="AI41" s="112">
        <v>0</v>
      </c>
      <c r="AJ41" s="115"/>
      <c r="AK41" s="112">
        <v>0</v>
      </c>
      <c r="AL41" s="112">
        <v>0</v>
      </c>
      <c r="AM41" s="115"/>
      <c r="AN41" s="112">
        <v>0</v>
      </c>
      <c r="AO41" s="112">
        <v>0</v>
      </c>
      <c r="AP41" s="115"/>
      <c r="AQ41" s="112">
        <v>0</v>
      </c>
      <c r="AR41" s="112">
        <v>0</v>
      </c>
      <c r="AS41" s="115"/>
      <c r="AT41" s="112">
        <v>0</v>
      </c>
      <c r="AU41" s="112">
        <v>0</v>
      </c>
      <c r="AV41" s="115"/>
      <c r="AW41" s="112">
        <v>0</v>
      </c>
      <c r="AX41" s="112">
        <v>0</v>
      </c>
      <c r="AY41" s="115"/>
      <c r="AZ41" s="112">
        <v>0</v>
      </c>
      <c r="BA41" s="112">
        <v>0</v>
      </c>
      <c r="BB41" s="115"/>
      <c r="BC41" s="112">
        <v>0</v>
      </c>
      <c r="BD41" s="112">
        <v>0</v>
      </c>
      <c r="BE41" s="115"/>
      <c r="BF41" s="112">
        <v>0</v>
      </c>
      <c r="BG41" s="112">
        <v>0</v>
      </c>
      <c r="BH41" s="115"/>
      <c r="BI41" s="112">
        <v>0</v>
      </c>
      <c r="BJ41" s="112">
        <v>0</v>
      </c>
      <c r="BK41" s="115"/>
      <c r="BL41" s="112">
        <v>0</v>
      </c>
      <c r="BM41" s="112">
        <v>0</v>
      </c>
      <c r="BN41" s="115"/>
      <c r="BO41" s="112">
        <v>0</v>
      </c>
      <c r="BP41" s="112">
        <v>0</v>
      </c>
      <c r="BQ41" s="115"/>
      <c r="BR41" s="112">
        <v>0</v>
      </c>
      <c r="BS41" s="112">
        <v>0</v>
      </c>
      <c r="BT41" s="115"/>
      <c r="BU41" s="112">
        <v>0</v>
      </c>
      <c r="BV41" s="112">
        <v>0</v>
      </c>
      <c r="BW41" s="115"/>
      <c r="BX41" s="112">
        <v>0</v>
      </c>
      <c r="BY41" s="112"/>
      <c r="BZ41" s="115"/>
      <c r="CA41" s="116">
        <v>0</v>
      </c>
      <c r="CB41" s="112"/>
      <c r="CC41" s="115"/>
      <c r="CD41" s="116">
        <v>0</v>
      </c>
      <c r="CE41" s="112"/>
      <c r="CF41" s="115"/>
      <c r="CG41" s="116">
        <v>0</v>
      </c>
      <c r="CH41" s="112"/>
      <c r="CI41" s="115"/>
      <c r="CJ41" s="116">
        <v>0</v>
      </c>
      <c r="CK41" s="112"/>
      <c r="CL41" s="115"/>
      <c r="CM41" s="116">
        <v>0</v>
      </c>
      <c r="CN41" s="112"/>
      <c r="CO41" s="115"/>
      <c r="CP41" s="92"/>
      <c r="CQ41" s="112"/>
    </row>
    <row r="42" spans="1:95" ht="12" x14ac:dyDescent="0.25">
      <c r="A42" s="111" t="s">
        <v>95</v>
      </c>
      <c r="B42" s="159"/>
      <c r="C42" s="112"/>
      <c r="D42" s="112">
        <v>0</v>
      </c>
      <c r="E42" s="112">
        <v>0</v>
      </c>
      <c r="F42" s="112"/>
      <c r="G42" s="112">
        <v>0</v>
      </c>
      <c r="H42" s="112"/>
      <c r="I42" s="112"/>
      <c r="J42" s="112">
        <v>0</v>
      </c>
      <c r="K42" s="112">
        <v>0</v>
      </c>
      <c r="L42" s="114"/>
      <c r="M42" s="112">
        <v>0</v>
      </c>
      <c r="N42" s="112">
        <v>0</v>
      </c>
      <c r="O42" s="114"/>
      <c r="P42" s="112">
        <v>0</v>
      </c>
      <c r="Q42" s="112">
        <v>0</v>
      </c>
      <c r="R42" s="114"/>
      <c r="S42" s="112">
        <v>0</v>
      </c>
      <c r="T42" s="112">
        <v>0</v>
      </c>
      <c r="U42" s="114"/>
      <c r="V42" s="112">
        <v>0</v>
      </c>
      <c r="W42" s="112">
        <v>0</v>
      </c>
      <c r="X42" s="115"/>
      <c r="Y42" s="112">
        <v>0</v>
      </c>
      <c r="Z42" s="112">
        <v>0</v>
      </c>
      <c r="AA42" s="115"/>
      <c r="AB42" s="112">
        <v>0</v>
      </c>
      <c r="AC42" s="112">
        <v>0</v>
      </c>
      <c r="AD42" s="115"/>
      <c r="AE42" s="112">
        <v>0</v>
      </c>
      <c r="AF42" s="112"/>
      <c r="AG42" s="115"/>
      <c r="AH42" s="112">
        <v>0</v>
      </c>
      <c r="AI42" s="112">
        <v>0</v>
      </c>
      <c r="AJ42" s="115"/>
      <c r="AK42" s="112">
        <v>0</v>
      </c>
      <c r="AL42" s="112">
        <v>0</v>
      </c>
      <c r="AM42" s="115"/>
      <c r="AN42" s="112">
        <v>0</v>
      </c>
      <c r="AO42" s="112">
        <v>0</v>
      </c>
      <c r="AP42" s="115"/>
      <c r="AQ42" s="112">
        <v>0</v>
      </c>
      <c r="AR42" s="112">
        <v>0</v>
      </c>
      <c r="AS42" s="115"/>
      <c r="AT42" s="112">
        <v>0</v>
      </c>
      <c r="AU42" s="112">
        <v>0</v>
      </c>
      <c r="AV42" s="115"/>
      <c r="AW42" s="112">
        <v>0</v>
      </c>
      <c r="AX42" s="112">
        <v>0</v>
      </c>
      <c r="AY42" s="115"/>
      <c r="AZ42" s="112">
        <v>0</v>
      </c>
      <c r="BA42" s="112">
        <v>0</v>
      </c>
      <c r="BB42" s="115"/>
      <c r="BC42" s="112">
        <v>0</v>
      </c>
      <c r="BD42" s="112">
        <v>0</v>
      </c>
      <c r="BE42" s="115"/>
      <c r="BF42" s="112">
        <v>0</v>
      </c>
      <c r="BG42" s="112">
        <v>0</v>
      </c>
      <c r="BH42" s="115"/>
      <c r="BI42" s="112">
        <v>0</v>
      </c>
      <c r="BJ42" s="112">
        <v>0</v>
      </c>
      <c r="BK42" s="115"/>
      <c r="BL42" s="112">
        <v>0</v>
      </c>
      <c r="BM42" s="112">
        <v>0</v>
      </c>
      <c r="BN42" s="115"/>
      <c r="BO42" s="112">
        <v>0</v>
      </c>
      <c r="BP42" s="112">
        <v>0</v>
      </c>
      <c r="BQ42" s="115"/>
      <c r="BR42" s="112">
        <v>0</v>
      </c>
      <c r="BS42" s="112">
        <v>0</v>
      </c>
      <c r="BT42" s="115"/>
      <c r="BU42" s="112">
        <v>0</v>
      </c>
      <c r="BV42" s="112">
        <v>0</v>
      </c>
      <c r="BW42" s="115"/>
      <c r="BX42" s="112">
        <v>0</v>
      </c>
      <c r="BY42" s="112"/>
      <c r="BZ42" s="115"/>
      <c r="CA42" s="116">
        <v>0</v>
      </c>
      <c r="CB42" s="112"/>
      <c r="CC42" s="115"/>
      <c r="CD42" s="116">
        <v>0</v>
      </c>
      <c r="CE42" s="112"/>
      <c r="CF42" s="115"/>
      <c r="CG42" s="116">
        <v>0</v>
      </c>
      <c r="CH42" s="112"/>
      <c r="CI42" s="115"/>
      <c r="CJ42" s="116">
        <v>0</v>
      </c>
      <c r="CK42" s="112"/>
      <c r="CL42" s="115"/>
      <c r="CM42" s="116">
        <v>0</v>
      </c>
      <c r="CN42" s="112"/>
      <c r="CO42" s="115"/>
      <c r="CP42" s="92"/>
      <c r="CQ42" s="112"/>
    </row>
    <row r="43" spans="1:95" ht="12" x14ac:dyDescent="0.25">
      <c r="A43" s="111" t="s">
        <v>96</v>
      </c>
      <c r="B43" s="159"/>
      <c r="C43" s="112"/>
      <c r="D43" s="112">
        <v>0</v>
      </c>
      <c r="E43" s="112">
        <v>0</v>
      </c>
      <c r="F43" s="112"/>
      <c r="G43" s="112">
        <v>0</v>
      </c>
      <c r="H43" s="112"/>
      <c r="I43" s="112"/>
      <c r="J43" s="112">
        <v>0</v>
      </c>
      <c r="K43" s="112">
        <v>0</v>
      </c>
      <c r="L43" s="114"/>
      <c r="M43" s="112">
        <v>0</v>
      </c>
      <c r="N43" s="112">
        <v>0</v>
      </c>
      <c r="O43" s="114"/>
      <c r="P43" s="112">
        <v>0</v>
      </c>
      <c r="Q43" s="112">
        <v>0</v>
      </c>
      <c r="R43" s="114"/>
      <c r="S43" s="112">
        <v>0</v>
      </c>
      <c r="T43" s="112">
        <v>0</v>
      </c>
      <c r="U43" s="114"/>
      <c r="V43" s="112">
        <v>0</v>
      </c>
      <c r="W43" s="112">
        <v>0</v>
      </c>
      <c r="X43" s="115"/>
      <c r="Y43" s="112">
        <v>0</v>
      </c>
      <c r="Z43" s="112">
        <v>0</v>
      </c>
      <c r="AA43" s="115"/>
      <c r="AB43" s="112">
        <v>0</v>
      </c>
      <c r="AC43" s="112">
        <v>0</v>
      </c>
      <c r="AD43" s="115"/>
      <c r="AE43" s="112">
        <v>0</v>
      </c>
      <c r="AF43" s="112"/>
      <c r="AG43" s="115"/>
      <c r="AH43" s="112">
        <v>0</v>
      </c>
      <c r="AI43" s="112">
        <v>0</v>
      </c>
      <c r="AJ43" s="115"/>
      <c r="AK43" s="112">
        <v>0</v>
      </c>
      <c r="AL43" s="112">
        <v>0</v>
      </c>
      <c r="AM43" s="115"/>
      <c r="AN43" s="112">
        <v>0</v>
      </c>
      <c r="AO43" s="112">
        <v>0</v>
      </c>
      <c r="AP43" s="115"/>
      <c r="AQ43" s="112">
        <v>0</v>
      </c>
      <c r="AR43" s="112">
        <v>0</v>
      </c>
      <c r="AS43" s="115"/>
      <c r="AT43" s="112">
        <v>0</v>
      </c>
      <c r="AU43" s="112">
        <v>0</v>
      </c>
      <c r="AV43" s="115"/>
      <c r="AW43" s="112">
        <v>0</v>
      </c>
      <c r="AX43" s="112">
        <v>0</v>
      </c>
      <c r="AY43" s="115"/>
      <c r="AZ43" s="112">
        <v>0</v>
      </c>
      <c r="BA43" s="112">
        <v>0</v>
      </c>
      <c r="BB43" s="115"/>
      <c r="BC43" s="112">
        <v>0</v>
      </c>
      <c r="BD43" s="112">
        <v>0</v>
      </c>
      <c r="BE43" s="115"/>
      <c r="BF43" s="112">
        <v>0</v>
      </c>
      <c r="BG43" s="112">
        <v>0</v>
      </c>
      <c r="BH43" s="115"/>
      <c r="BI43" s="112">
        <v>0</v>
      </c>
      <c r="BJ43" s="112">
        <v>0</v>
      </c>
      <c r="BK43" s="115"/>
      <c r="BL43" s="112">
        <v>0</v>
      </c>
      <c r="BM43" s="112">
        <v>0.7</v>
      </c>
      <c r="BN43" s="115"/>
      <c r="BO43" s="112">
        <v>0</v>
      </c>
      <c r="BP43" s="112">
        <v>0.7</v>
      </c>
      <c r="BQ43" s="115"/>
      <c r="BR43" s="112">
        <v>0</v>
      </c>
      <c r="BS43" s="112">
        <v>0</v>
      </c>
      <c r="BT43" s="115"/>
      <c r="BU43" s="112">
        <v>0</v>
      </c>
      <c r="BV43" s="112">
        <v>0</v>
      </c>
      <c r="BW43" s="115"/>
      <c r="BX43" s="112">
        <v>0</v>
      </c>
      <c r="BY43" s="112"/>
      <c r="BZ43" s="115"/>
      <c r="CA43" s="116">
        <v>0</v>
      </c>
      <c r="CB43" s="112"/>
      <c r="CC43" s="115"/>
      <c r="CD43" s="116">
        <v>0</v>
      </c>
      <c r="CE43" s="112"/>
      <c r="CF43" s="115"/>
      <c r="CG43" s="116">
        <v>0</v>
      </c>
      <c r="CH43" s="112"/>
      <c r="CI43" s="115"/>
      <c r="CJ43" s="116">
        <v>0</v>
      </c>
      <c r="CK43" s="112"/>
      <c r="CL43" s="115"/>
      <c r="CM43" s="116">
        <v>0</v>
      </c>
      <c r="CN43" s="112"/>
      <c r="CO43" s="115"/>
      <c r="CP43" s="92"/>
      <c r="CQ43" s="112"/>
    </row>
    <row r="44" spans="1:95" ht="12" x14ac:dyDescent="0.25">
      <c r="A44" s="111" t="s">
        <v>97</v>
      </c>
      <c r="B44" s="159"/>
      <c r="C44" s="112"/>
      <c r="D44" s="112">
        <v>0</v>
      </c>
      <c r="E44" s="112">
        <v>0</v>
      </c>
      <c r="F44" s="112"/>
      <c r="G44" s="112">
        <v>0</v>
      </c>
      <c r="H44" s="112"/>
      <c r="I44" s="112"/>
      <c r="J44" s="112">
        <v>0</v>
      </c>
      <c r="K44" s="112">
        <v>0</v>
      </c>
      <c r="L44" s="114"/>
      <c r="M44" s="112">
        <v>0</v>
      </c>
      <c r="N44" s="112">
        <v>0</v>
      </c>
      <c r="O44" s="114"/>
      <c r="P44" s="112">
        <v>0</v>
      </c>
      <c r="Q44" s="112">
        <v>0</v>
      </c>
      <c r="R44" s="114"/>
      <c r="S44" s="112">
        <v>0</v>
      </c>
      <c r="T44" s="112">
        <v>0</v>
      </c>
      <c r="U44" s="114"/>
      <c r="V44" s="112">
        <v>0</v>
      </c>
      <c r="W44" s="112">
        <v>0</v>
      </c>
      <c r="X44" s="115"/>
      <c r="Y44" s="112">
        <v>0</v>
      </c>
      <c r="Z44" s="112">
        <v>0</v>
      </c>
      <c r="AA44" s="115"/>
      <c r="AB44" s="112">
        <v>0</v>
      </c>
      <c r="AC44" s="112">
        <v>0</v>
      </c>
      <c r="AD44" s="115"/>
      <c r="AE44" s="112">
        <v>0</v>
      </c>
      <c r="AF44" s="112"/>
      <c r="AG44" s="115"/>
      <c r="AH44" s="112">
        <v>0</v>
      </c>
      <c r="AI44" s="112">
        <v>0</v>
      </c>
      <c r="AJ44" s="115"/>
      <c r="AK44" s="112">
        <v>0</v>
      </c>
      <c r="AL44" s="112">
        <v>0</v>
      </c>
      <c r="AM44" s="115"/>
      <c r="AN44" s="112">
        <v>0</v>
      </c>
      <c r="AO44" s="112">
        <v>0</v>
      </c>
      <c r="AP44" s="115"/>
      <c r="AQ44" s="112">
        <v>0</v>
      </c>
      <c r="AR44" s="112">
        <v>0</v>
      </c>
      <c r="AS44" s="115"/>
      <c r="AT44" s="112">
        <v>0</v>
      </c>
      <c r="AU44" s="112">
        <v>0</v>
      </c>
      <c r="AV44" s="115"/>
      <c r="AW44" s="112">
        <v>0</v>
      </c>
      <c r="AX44" s="112">
        <v>0</v>
      </c>
      <c r="AY44" s="115"/>
      <c r="AZ44" s="112">
        <v>0</v>
      </c>
      <c r="BA44" s="112">
        <v>0</v>
      </c>
      <c r="BB44" s="115"/>
      <c r="BC44" s="112">
        <v>0</v>
      </c>
      <c r="BD44" s="112">
        <v>0</v>
      </c>
      <c r="BE44" s="115"/>
      <c r="BF44" s="112">
        <v>0</v>
      </c>
      <c r="BG44" s="112">
        <v>0</v>
      </c>
      <c r="BH44" s="115"/>
      <c r="BI44" s="112">
        <v>0</v>
      </c>
      <c r="BJ44" s="112">
        <v>0</v>
      </c>
      <c r="BK44" s="115"/>
      <c r="BL44" s="112">
        <v>0</v>
      </c>
      <c r="BM44" s="112">
        <v>0.7</v>
      </c>
      <c r="BN44" s="115"/>
      <c r="BO44" s="112">
        <v>0</v>
      </c>
      <c r="BP44" s="112">
        <v>0.7</v>
      </c>
      <c r="BQ44" s="115"/>
      <c r="BR44" s="112">
        <v>0</v>
      </c>
      <c r="BS44" s="112">
        <v>0</v>
      </c>
      <c r="BT44" s="115"/>
      <c r="BU44" s="112">
        <v>0</v>
      </c>
      <c r="BV44" s="112">
        <v>0</v>
      </c>
      <c r="BW44" s="115"/>
      <c r="BX44" s="112">
        <v>0</v>
      </c>
      <c r="BY44" s="112"/>
      <c r="BZ44" s="115"/>
      <c r="CA44" s="116">
        <v>0</v>
      </c>
      <c r="CB44" s="112"/>
      <c r="CC44" s="115"/>
      <c r="CD44" s="116">
        <v>0</v>
      </c>
      <c r="CE44" s="112"/>
      <c r="CF44" s="115"/>
      <c r="CG44" s="116">
        <v>0</v>
      </c>
      <c r="CH44" s="112"/>
      <c r="CI44" s="115"/>
      <c r="CJ44" s="116">
        <v>0</v>
      </c>
      <c r="CK44" s="112"/>
      <c r="CL44" s="115"/>
      <c r="CM44" s="116">
        <v>0</v>
      </c>
      <c r="CN44" s="112"/>
      <c r="CO44" s="115"/>
      <c r="CP44" s="92"/>
      <c r="CQ44" s="112"/>
    </row>
    <row r="45" spans="1:95" ht="12" x14ac:dyDescent="0.25">
      <c r="A45" s="111" t="s">
        <v>98</v>
      </c>
      <c r="B45" s="159"/>
      <c r="C45" s="112"/>
      <c r="D45" s="112">
        <v>0</v>
      </c>
      <c r="E45" s="112">
        <v>0</v>
      </c>
      <c r="F45" s="112"/>
      <c r="G45" s="112">
        <v>0</v>
      </c>
      <c r="H45" s="112"/>
      <c r="I45" s="112"/>
      <c r="J45" s="112">
        <v>0</v>
      </c>
      <c r="K45" s="112">
        <v>0</v>
      </c>
      <c r="L45" s="114"/>
      <c r="M45" s="112">
        <v>0</v>
      </c>
      <c r="N45" s="112">
        <v>0</v>
      </c>
      <c r="O45" s="114"/>
      <c r="P45" s="112">
        <v>0</v>
      </c>
      <c r="Q45" s="112">
        <v>0</v>
      </c>
      <c r="R45" s="114"/>
      <c r="S45" s="112">
        <v>0</v>
      </c>
      <c r="T45" s="112">
        <v>0</v>
      </c>
      <c r="U45" s="114"/>
      <c r="V45" s="112">
        <v>0</v>
      </c>
      <c r="W45" s="112">
        <v>0</v>
      </c>
      <c r="X45" s="115"/>
      <c r="Y45" s="112">
        <v>0</v>
      </c>
      <c r="Z45" s="112">
        <v>0</v>
      </c>
      <c r="AA45" s="115"/>
      <c r="AB45" s="112">
        <v>0</v>
      </c>
      <c r="AC45" s="112">
        <v>0</v>
      </c>
      <c r="AD45" s="115"/>
      <c r="AE45" s="112">
        <v>0</v>
      </c>
      <c r="AF45" s="112"/>
      <c r="AG45" s="115"/>
      <c r="AH45" s="112">
        <v>0</v>
      </c>
      <c r="AI45" s="112">
        <v>0</v>
      </c>
      <c r="AJ45" s="115"/>
      <c r="AK45" s="112">
        <v>0</v>
      </c>
      <c r="AL45" s="112">
        <v>0</v>
      </c>
      <c r="AM45" s="115"/>
      <c r="AN45" s="112">
        <v>0</v>
      </c>
      <c r="AO45" s="112">
        <v>0</v>
      </c>
      <c r="AP45" s="115"/>
      <c r="AQ45" s="112">
        <v>0</v>
      </c>
      <c r="AR45" s="112">
        <v>0</v>
      </c>
      <c r="AS45" s="115"/>
      <c r="AT45" s="112">
        <v>0</v>
      </c>
      <c r="AU45" s="112">
        <v>0</v>
      </c>
      <c r="AV45" s="115"/>
      <c r="AW45" s="112">
        <v>0</v>
      </c>
      <c r="AX45" s="112">
        <v>0</v>
      </c>
      <c r="AY45" s="115"/>
      <c r="AZ45" s="112">
        <v>0</v>
      </c>
      <c r="BA45" s="112">
        <v>0</v>
      </c>
      <c r="BB45" s="115"/>
      <c r="BC45" s="112">
        <v>0</v>
      </c>
      <c r="BD45" s="112">
        <v>0.6</v>
      </c>
      <c r="BE45" s="115"/>
      <c r="BF45" s="112">
        <v>0</v>
      </c>
      <c r="BG45" s="112">
        <v>0</v>
      </c>
      <c r="BH45" s="115"/>
      <c r="BI45" s="112">
        <v>0</v>
      </c>
      <c r="BJ45" s="112">
        <v>0</v>
      </c>
      <c r="BK45" s="115"/>
      <c r="BL45" s="112">
        <v>0</v>
      </c>
      <c r="BM45" s="112">
        <v>0</v>
      </c>
      <c r="BN45" s="115"/>
      <c r="BO45" s="112">
        <v>0</v>
      </c>
      <c r="BP45" s="112">
        <v>0</v>
      </c>
      <c r="BQ45" s="115"/>
      <c r="BR45" s="112">
        <v>0</v>
      </c>
      <c r="BS45" s="112">
        <v>0</v>
      </c>
      <c r="BT45" s="115"/>
      <c r="BU45" s="112">
        <v>0</v>
      </c>
      <c r="BV45" s="112">
        <v>0</v>
      </c>
      <c r="BW45" s="115"/>
      <c r="BX45" s="112">
        <v>0</v>
      </c>
      <c r="BY45" s="112"/>
      <c r="BZ45" s="115"/>
      <c r="CA45" s="116">
        <v>0</v>
      </c>
      <c r="CB45" s="112"/>
      <c r="CC45" s="115"/>
      <c r="CD45" s="116">
        <v>0</v>
      </c>
      <c r="CE45" s="112"/>
      <c r="CF45" s="115"/>
      <c r="CG45" s="116">
        <v>0</v>
      </c>
      <c r="CH45" s="112"/>
      <c r="CI45" s="115"/>
      <c r="CJ45" s="116">
        <v>0</v>
      </c>
      <c r="CK45" s="112"/>
      <c r="CL45" s="115"/>
      <c r="CM45" s="116">
        <v>0</v>
      </c>
      <c r="CN45" s="112"/>
      <c r="CO45" s="115"/>
      <c r="CP45" s="92"/>
      <c r="CQ45" s="112"/>
    </row>
    <row r="46" spans="1:95" ht="12" x14ac:dyDescent="0.25">
      <c r="A46" s="111" t="s">
        <v>99</v>
      </c>
      <c r="B46" s="160"/>
      <c r="C46" s="112"/>
      <c r="D46" s="112">
        <v>0</v>
      </c>
      <c r="E46" s="112">
        <v>0</v>
      </c>
      <c r="F46" s="112"/>
      <c r="G46" s="112">
        <v>0</v>
      </c>
      <c r="H46" s="112"/>
      <c r="I46" s="112"/>
      <c r="J46" s="112">
        <v>0</v>
      </c>
      <c r="K46" s="112">
        <v>0</v>
      </c>
      <c r="L46" s="114"/>
      <c r="M46" s="112">
        <v>0</v>
      </c>
      <c r="N46" s="112">
        <v>0</v>
      </c>
      <c r="O46" s="114"/>
      <c r="P46" s="112">
        <v>0</v>
      </c>
      <c r="Q46" s="112">
        <v>0</v>
      </c>
      <c r="R46" s="114"/>
      <c r="S46" s="112">
        <v>0</v>
      </c>
      <c r="T46" s="112">
        <v>0</v>
      </c>
      <c r="U46" s="114"/>
      <c r="V46" s="112">
        <v>0</v>
      </c>
      <c r="W46" s="112">
        <v>0</v>
      </c>
      <c r="X46" s="115"/>
      <c r="Y46" s="112">
        <v>0</v>
      </c>
      <c r="Z46" s="112">
        <v>0</v>
      </c>
      <c r="AA46" s="115"/>
      <c r="AB46" s="112">
        <v>0</v>
      </c>
      <c r="AC46" s="112">
        <v>0</v>
      </c>
      <c r="AD46" s="115"/>
      <c r="AE46" s="112">
        <v>0</v>
      </c>
      <c r="AF46" s="112"/>
      <c r="AG46" s="115"/>
      <c r="AH46" s="112">
        <v>0</v>
      </c>
      <c r="AI46" s="112">
        <v>0</v>
      </c>
      <c r="AJ46" s="115"/>
      <c r="AK46" s="112">
        <v>0</v>
      </c>
      <c r="AL46" s="112">
        <v>0</v>
      </c>
      <c r="AM46" s="115"/>
      <c r="AN46" s="112">
        <v>0</v>
      </c>
      <c r="AO46" s="112">
        <v>0</v>
      </c>
      <c r="AP46" s="115"/>
      <c r="AQ46" s="112">
        <v>0</v>
      </c>
      <c r="AR46" s="112">
        <v>0</v>
      </c>
      <c r="AS46" s="115"/>
      <c r="AT46" s="112">
        <v>0</v>
      </c>
      <c r="AU46" s="112">
        <v>0</v>
      </c>
      <c r="AV46" s="115"/>
      <c r="AW46" s="112">
        <v>0</v>
      </c>
      <c r="AX46" s="112">
        <v>0</v>
      </c>
      <c r="AY46" s="115"/>
      <c r="AZ46" s="112">
        <v>0</v>
      </c>
      <c r="BA46" s="112">
        <v>0</v>
      </c>
      <c r="BB46" s="115"/>
      <c r="BC46" s="112">
        <v>0</v>
      </c>
      <c r="BD46" s="112">
        <v>0.6</v>
      </c>
      <c r="BE46" s="115"/>
      <c r="BF46" s="112">
        <v>0</v>
      </c>
      <c r="BG46" s="112">
        <v>0</v>
      </c>
      <c r="BH46" s="115"/>
      <c r="BI46" s="112">
        <v>0</v>
      </c>
      <c r="BJ46" s="112">
        <v>0</v>
      </c>
      <c r="BK46" s="115"/>
      <c r="BL46" s="112">
        <v>0</v>
      </c>
      <c r="BM46" s="112">
        <v>0</v>
      </c>
      <c r="BN46" s="115"/>
      <c r="BO46" s="112">
        <v>0</v>
      </c>
      <c r="BP46" s="112">
        <v>0</v>
      </c>
      <c r="BQ46" s="115"/>
      <c r="BR46" s="112">
        <v>0</v>
      </c>
      <c r="BS46" s="112">
        <v>0</v>
      </c>
      <c r="BT46" s="115"/>
      <c r="BU46" s="112">
        <v>0</v>
      </c>
      <c r="BV46" s="112">
        <v>0</v>
      </c>
      <c r="BW46" s="115"/>
      <c r="BX46" s="112">
        <v>0</v>
      </c>
      <c r="BY46" s="112"/>
      <c r="BZ46" s="115"/>
      <c r="CA46" s="116">
        <v>0</v>
      </c>
      <c r="CB46" s="112"/>
      <c r="CC46" s="115"/>
      <c r="CD46" s="116">
        <v>0</v>
      </c>
      <c r="CE46" s="112"/>
      <c r="CF46" s="115"/>
      <c r="CG46" s="116">
        <v>0</v>
      </c>
      <c r="CH46" s="112"/>
      <c r="CI46" s="115"/>
      <c r="CJ46" s="116">
        <v>0</v>
      </c>
      <c r="CK46" s="112"/>
      <c r="CL46" s="115"/>
      <c r="CM46" s="116">
        <v>0</v>
      </c>
      <c r="CN46" s="112"/>
      <c r="CO46" s="115"/>
      <c r="CP46" s="92"/>
      <c r="CQ46" s="112"/>
    </row>
    <row r="47" spans="1:95" ht="12" x14ac:dyDescent="0.25">
      <c r="A47" s="111" t="s">
        <v>100</v>
      </c>
      <c r="B47" s="158" t="s">
        <v>31</v>
      </c>
      <c r="C47" s="112"/>
      <c r="D47" s="112">
        <v>0</v>
      </c>
      <c r="E47" s="112">
        <v>0</v>
      </c>
      <c r="F47" s="112"/>
      <c r="G47" s="112">
        <v>0</v>
      </c>
      <c r="H47" s="112"/>
      <c r="I47" s="112"/>
      <c r="J47" s="112">
        <v>0</v>
      </c>
      <c r="K47" s="112">
        <v>0</v>
      </c>
      <c r="L47" s="114"/>
      <c r="M47" s="112">
        <v>0</v>
      </c>
      <c r="N47" s="112">
        <v>0</v>
      </c>
      <c r="O47" s="114"/>
      <c r="P47" s="112">
        <v>0</v>
      </c>
      <c r="Q47" s="112">
        <v>0</v>
      </c>
      <c r="R47" s="114"/>
      <c r="S47" s="112">
        <v>0</v>
      </c>
      <c r="T47" s="112">
        <v>0</v>
      </c>
      <c r="U47" s="114"/>
      <c r="V47" s="112">
        <v>0</v>
      </c>
      <c r="W47" s="112">
        <v>0</v>
      </c>
      <c r="X47" s="115"/>
      <c r="Y47" s="112">
        <v>0</v>
      </c>
      <c r="Z47" s="112">
        <v>0</v>
      </c>
      <c r="AA47" s="115"/>
      <c r="AB47" s="112">
        <v>0</v>
      </c>
      <c r="AC47" s="112">
        <v>0</v>
      </c>
      <c r="AD47" s="115"/>
      <c r="AE47" s="112">
        <v>0</v>
      </c>
      <c r="AF47" s="112"/>
      <c r="AG47" s="115"/>
      <c r="AH47" s="112">
        <v>0</v>
      </c>
      <c r="AI47" s="112">
        <v>0</v>
      </c>
      <c r="AJ47" s="115"/>
      <c r="AK47" s="112">
        <v>0</v>
      </c>
      <c r="AL47" s="112">
        <v>0</v>
      </c>
      <c r="AM47" s="115"/>
      <c r="AN47" s="112">
        <v>0</v>
      </c>
      <c r="AO47" s="112">
        <v>0</v>
      </c>
      <c r="AP47" s="115"/>
      <c r="AQ47" s="112">
        <v>0</v>
      </c>
      <c r="AR47" s="112">
        <v>0</v>
      </c>
      <c r="AS47" s="115"/>
      <c r="AT47" s="112">
        <v>0</v>
      </c>
      <c r="AU47" s="112">
        <v>0</v>
      </c>
      <c r="AV47" s="115"/>
      <c r="AW47" s="112">
        <v>0</v>
      </c>
      <c r="AX47" s="112">
        <v>0</v>
      </c>
      <c r="AY47" s="115"/>
      <c r="AZ47" s="112">
        <v>0</v>
      </c>
      <c r="BA47" s="112">
        <v>0</v>
      </c>
      <c r="BB47" s="115"/>
      <c r="BC47" s="112">
        <v>0</v>
      </c>
      <c r="BD47" s="112">
        <v>0</v>
      </c>
      <c r="BE47" s="115"/>
      <c r="BF47" s="112">
        <v>0</v>
      </c>
      <c r="BG47" s="112">
        <v>0</v>
      </c>
      <c r="BH47" s="115"/>
      <c r="BI47" s="112">
        <v>0</v>
      </c>
      <c r="BJ47" s="112">
        <v>0</v>
      </c>
      <c r="BK47" s="115"/>
      <c r="BL47" s="112">
        <v>0</v>
      </c>
      <c r="BM47" s="112">
        <v>0</v>
      </c>
      <c r="BN47" s="115"/>
      <c r="BO47" s="112">
        <v>0</v>
      </c>
      <c r="BP47" s="112">
        <v>0</v>
      </c>
      <c r="BQ47" s="115"/>
      <c r="BR47" s="112">
        <v>0</v>
      </c>
      <c r="BS47" s="112">
        <v>0</v>
      </c>
      <c r="BT47" s="115"/>
      <c r="BU47" s="112">
        <v>0</v>
      </c>
      <c r="BV47" s="112">
        <v>0</v>
      </c>
      <c r="BW47" s="115"/>
      <c r="BX47" s="112">
        <v>0</v>
      </c>
      <c r="BY47" s="112"/>
      <c r="BZ47" s="115"/>
      <c r="CA47" s="116">
        <v>0</v>
      </c>
      <c r="CB47" s="112"/>
      <c r="CC47" s="115"/>
      <c r="CD47" s="116">
        <v>0</v>
      </c>
      <c r="CE47" s="112"/>
      <c r="CF47" s="115"/>
      <c r="CG47" s="116">
        <v>0</v>
      </c>
      <c r="CH47" s="112"/>
      <c r="CI47" s="115"/>
      <c r="CJ47" s="116">
        <v>0</v>
      </c>
      <c r="CK47" s="112"/>
      <c r="CL47" s="115"/>
      <c r="CM47" s="116">
        <v>0</v>
      </c>
      <c r="CN47" s="112"/>
      <c r="CO47" s="115"/>
      <c r="CP47" s="92"/>
      <c r="CQ47" s="112"/>
    </row>
    <row r="48" spans="1:95" ht="12" x14ac:dyDescent="0.25">
      <c r="A48" s="111" t="s">
        <v>101</v>
      </c>
      <c r="B48" s="159"/>
      <c r="C48" s="112"/>
      <c r="D48" s="112">
        <v>0</v>
      </c>
      <c r="E48" s="112">
        <v>0</v>
      </c>
      <c r="F48" s="112"/>
      <c r="G48" s="112">
        <v>0</v>
      </c>
      <c r="H48" s="112"/>
      <c r="I48" s="112"/>
      <c r="J48" s="112">
        <v>0</v>
      </c>
      <c r="K48" s="112">
        <v>0</v>
      </c>
      <c r="L48" s="114"/>
      <c r="M48" s="112">
        <v>0</v>
      </c>
      <c r="N48" s="112">
        <v>0</v>
      </c>
      <c r="O48" s="114"/>
      <c r="P48" s="112">
        <v>0</v>
      </c>
      <c r="Q48" s="112">
        <v>0</v>
      </c>
      <c r="R48" s="114"/>
      <c r="S48" s="112">
        <v>0</v>
      </c>
      <c r="T48" s="112">
        <v>0</v>
      </c>
      <c r="U48" s="114"/>
      <c r="V48" s="112">
        <v>0</v>
      </c>
      <c r="W48" s="112">
        <v>0</v>
      </c>
      <c r="X48" s="115"/>
      <c r="Y48" s="112">
        <v>0</v>
      </c>
      <c r="Z48" s="112">
        <v>0</v>
      </c>
      <c r="AA48" s="115"/>
      <c r="AB48" s="112">
        <v>0</v>
      </c>
      <c r="AC48" s="112">
        <v>0</v>
      </c>
      <c r="AD48" s="115"/>
      <c r="AE48" s="112">
        <v>0</v>
      </c>
      <c r="AF48" s="112"/>
      <c r="AG48" s="115"/>
      <c r="AH48" s="112">
        <v>0</v>
      </c>
      <c r="AI48" s="112">
        <v>0</v>
      </c>
      <c r="AJ48" s="115"/>
      <c r="AK48" s="112">
        <v>0</v>
      </c>
      <c r="AL48" s="112">
        <v>2.6</v>
      </c>
      <c r="AM48" s="115"/>
      <c r="AN48" s="112">
        <v>0</v>
      </c>
      <c r="AO48" s="112">
        <v>0</v>
      </c>
      <c r="AP48" s="115"/>
      <c r="AQ48" s="112">
        <v>0</v>
      </c>
      <c r="AR48" s="112">
        <v>0</v>
      </c>
      <c r="AS48" s="115"/>
      <c r="AT48" s="112">
        <v>0</v>
      </c>
      <c r="AU48" s="112">
        <v>0</v>
      </c>
      <c r="AV48" s="115"/>
      <c r="AW48" s="112">
        <v>0</v>
      </c>
      <c r="AX48" s="112">
        <v>0</v>
      </c>
      <c r="AY48" s="115"/>
      <c r="AZ48" s="112">
        <v>0</v>
      </c>
      <c r="BA48" s="112">
        <v>0</v>
      </c>
      <c r="BB48" s="115"/>
      <c r="BC48" s="112">
        <v>0</v>
      </c>
      <c r="BD48" s="112">
        <v>0</v>
      </c>
      <c r="BE48" s="115"/>
      <c r="BF48" s="112">
        <v>0</v>
      </c>
      <c r="BG48" s="112">
        <v>0</v>
      </c>
      <c r="BH48" s="115"/>
      <c r="BI48" s="112">
        <v>0</v>
      </c>
      <c r="BJ48" s="112">
        <v>0</v>
      </c>
      <c r="BK48" s="115"/>
      <c r="BL48" s="112">
        <v>0</v>
      </c>
      <c r="BM48" s="112">
        <v>0</v>
      </c>
      <c r="BN48" s="115"/>
      <c r="BO48" s="112">
        <v>0</v>
      </c>
      <c r="BP48" s="112">
        <v>0</v>
      </c>
      <c r="BQ48" s="115"/>
      <c r="BR48" s="112">
        <v>0</v>
      </c>
      <c r="BS48" s="112">
        <v>0</v>
      </c>
      <c r="BT48" s="115"/>
      <c r="BU48" s="112">
        <v>0</v>
      </c>
      <c r="BV48" s="112">
        <v>0</v>
      </c>
      <c r="BW48" s="115"/>
      <c r="BX48" s="112">
        <v>0</v>
      </c>
      <c r="BY48" s="112"/>
      <c r="BZ48" s="115"/>
      <c r="CA48" s="116">
        <v>0</v>
      </c>
      <c r="CB48" s="112"/>
      <c r="CC48" s="115"/>
      <c r="CD48" s="116">
        <v>0</v>
      </c>
      <c r="CE48" s="112"/>
      <c r="CF48" s="115"/>
      <c r="CG48" s="116">
        <v>0</v>
      </c>
      <c r="CH48" s="112"/>
      <c r="CI48" s="115"/>
      <c r="CJ48" s="116">
        <v>0</v>
      </c>
      <c r="CK48" s="112"/>
      <c r="CL48" s="115"/>
      <c r="CM48" s="116">
        <v>0</v>
      </c>
      <c r="CN48" s="112"/>
      <c r="CO48" s="115"/>
      <c r="CP48" s="92"/>
      <c r="CQ48" s="112"/>
    </row>
    <row r="49" spans="1:95" ht="12" x14ac:dyDescent="0.25">
      <c r="A49" s="111" t="s">
        <v>102</v>
      </c>
      <c r="B49" s="159"/>
      <c r="C49" s="112"/>
      <c r="D49" s="112">
        <v>0</v>
      </c>
      <c r="E49" s="112">
        <v>0</v>
      </c>
      <c r="F49" s="112"/>
      <c r="G49" s="112">
        <v>0</v>
      </c>
      <c r="H49" s="112"/>
      <c r="I49" s="112"/>
      <c r="J49" s="112">
        <v>0</v>
      </c>
      <c r="K49" s="112">
        <v>0</v>
      </c>
      <c r="L49" s="114"/>
      <c r="M49" s="112">
        <v>0</v>
      </c>
      <c r="N49" s="112">
        <v>0</v>
      </c>
      <c r="O49" s="114"/>
      <c r="P49" s="112">
        <v>0</v>
      </c>
      <c r="Q49" s="112">
        <v>0</v>
      </c>
      <c r="R49" s="114"/>
      <c r="S49" s="112">
        <v>0</v>
      </c>
      <c r="T49" s="112">
        <v>0</v>
      </c>
      <c r="U49" s="114"/>
      <c r="V49" s="112">
        <v>0</v>
      </c>
      <c r="W49" s="112">
        <v>0</v>
      </c>
      <c r="X49" s="115"/>
      <c r="Y49" s="112">
        <v>0</v>
      </c>
      <c r="Z49" s="112">
        <v>0</v>
      </c>
      <c r="AA49" s="115"/>
      <c r="AB49" s="112">
        <v>0</v>
      </c>
      <c r="AC49" s="112">
        <v>0</v>
      </c>
      <c r="AD49" s="115"/>
      <c r="AE49" s="112">
        <v>0</v>
      </c>
      <c r="AF49" s="112"/>
      <c r="AG49" s="115"/>
      <c r="AH49" s="112">
        <v>0</v>
      </c>
      <c r="AI49" s="112">
        <v>0</v>
      </c>
      <c r="AJ49" s="115"/>
      <c r="AK49" s="112">
        <v>0</v>
      </c>
      <c r="AL49" s="112">
        <v>0</v>
      </c>
      <c r="AM49" s="115"/>
      <c r="AN49" s="112">
        <v>0</v>
      </c>
      <c r="AO49" s="112">
        <v>0</v>
      </c>
      <c r="AP49" s="115"/>
      <c r="AQ49" s="112">
        <v>0</v>
      </c>
      <c r="AR49" s="112">
        <v>0</v>
      </c>
      <c r="AS49" s="115"/>
      <c r="AT49" s="112">
        <v>0</v>
      </c>
      <c r="AU49" s="112">
        <v>0</v>
      </c>
      <c r="AV49" s="115"/>
      <c r="AW49" s="112">
        <v>0</v>
      </c>
      <c r="AX49" s="112">
        <v>0</v>
      </c>
      <c r="AY49" s="115"/>
      <c r="AZ49" s="112">
        <v>0</v>
      </c>
      <c r="BA49" s="112">
        <v>0</v>
      </c>
      <c r="BB49" s="115"/>
      <c r="BC49" s="112">
        <v>0</v>
      </c>
      <c r="BD49" s="112">
        <v>0</v>
      </c>
      <c r="BE49" s="115"/>
      <c r="BF49" s="112">
        <v>0</v>
      </c>
      <c r="BG49" s="112">
        <v>0</v>
      </c>
      <c r="BH49" s="115"/>
      <c r="BI49" s="112">
        <v>0</v>
      </c>
      <c r="BJ49" s="112">
        <v>0</v>
      </c>
      <c r="BK49" s="115"/>
      <c r="BL49" s="112">
        <v>0</v>
      </c>
      <c r="BM49" s="112">
        <v>0</v>
      </c>
      <c r="BN49" s="115"/>
      <c r="BO49" s="112">
        <v>0</v>
      </c>
      <c r="BP49" s="112">
        <v>0</v>
      </c>
      <c r="BQ49" s="115"/>
      <c r="BR49" s="112">
        <v>0</v>
      </c>
      <c r="BS49" s="112">
        <v>0</v>
      </c>
      <c r="BT49" s="115"/>
      <c r="BU49" s="112">
        <v>0</v>
      </c>
      <c r="BV49" s="112">
        <v>0</v>
      </c>
      <c r="BW49" s="115"/>
      <c r="BX49" s="112">
        <v>0</v>
      </c>
      <c r="BY49" s="112"/>
      <c r="BZ49" s="115"/>
      <c r="CA49" s="116">
        <v>0</v>
      </c>
      <c r="CB49" s="112"/>
      <c r="CC49" s="115"/>
      <c r="CD49" s="116">
        <v>0</v>
      </c>
      <c r="CE49" s="112"/>
      <c r="CF49" s="115"/>
      <c r="CG49" s="116">
        <v>0</v>
      </c>
      <c r="CH49" s="112"/>
      <c r="CI49" s="115"/>
      <c r="CJ49" s="116">
        <v>0</v>
      </c>
      <c r="CK49" s="112"/>
      <c r="CL49" s="115"/>
      <c r="CM49" s="116">
        <v>0</v>
      </c>
      <c r="CN49" s="112"/>
      <c r="CO49" s="115"/>
      <c r="CP49" s="92"/>
      <c r="CQ49" s="112"/>
    </row>
    <row r="50" spans="1:95" ht="12" x14ac:dyDescent="0.25">
      <c r="A50" s="111" t="s">
        <v>103</v>
      </c>
      <c r="B50" s="159"/>
      <c r="C50" s="112"/>
      <c r="D50" s="112">
        <v>0</v>
      </c>
      <c r="E50" s="112">
        <v>0</v>
      </c>
      <c r="F50" s="112"/>
      <c r="G50" s="112">
        <v>0</v>
      </c>
      <c r="H50" s="112"/>
      <c r="I50" s="112"/>
      <c r="J50" s="112">
        <v>0</v>
      </c>
      <c r="K50" s="112">
        <v>0</v>
      </c>
      <c r="L50" s="114"/>
      <c r="M50" s="112">
        <v>0</v>
      </c>
      <c r="N50" s="112">
        <v>0</v>
      </c>
      <c r="O50" s="114"/>
      <c r="P50" s="112">
        <v>0</v>
      </c>
      <c r="Q50" s="112">
        <v>0</v>
      </c>
      <c r="R50" s="114"/>
      <c r="S50" s="112">
        <v>0</v>
      </c>
      <c r="T50" s="112">
        <v>0</v>
      </c>
      <c r="U50" s="114"/>
      <c r="V50" s="112">
        <v>0</v>
      </c>
      <c r="W50" s="112">
        <v>0</v>
      </c>
      <c r="X50" s="115"/>
      <c r="Y50" s="112">
        <v>0</v>
      </c>
      <c r="Z50" s="112">
        <v>0</v>
      </c>
      <c r="AA50" s="115"/>
      <c r="AB50" s="112">
        <v>0</v>
      </c>
      <c r="AC50" s="112">
        <v>0</v>
      </c>
      <c r="AD50" s="115"/>
      <c r="AE50" s="112">
        <v>0</v>
      </c>
      <c r="AF50" s="112"/>
      <c r="AG50" s="115"/>
      <c r="AH50" s="112">
        <v>0</v>
      </c>
      <c r="AI50" s="112">
        <v>0</v>
      </c>
      <c r="AJ50" s="115"/>
      <c r="AK50" s="112">
        <v>0</v>
      </c>
      <c r="AL50" s="112">
        <v>0</v>
      </c>
      <c r="AM50" s="115"/>
      <c r="AN50" s="112">
        <v>0</v>
      </c>
      <c r="AO50" s="112">
        <v>0</v>
      </c>
      <c r="AP50" s="115"/>
      <c r="AQ50" s="112">
        <v>0</v>
      </c>
      <c r="AR50" s="112">
        <v>0</v>
      </c>
      <c r="AS50" s="115"/>
      <c r="AT50" s="112">
        <v>0</v>
      </c>
      <c r="AU50" s="112">
        <v>0</v>
      </c>
      <c r="AV50" s="115"/>
      <c r="AW50" s="112">
        <v>0</v>
      </c>
      <c r="AX50" s="112">
        <v>0</v>
      </c>
      <c r="AY50" s="115"/>
      <c r="AZ50" s="112">
        <v>0</v>
      </c>
      <c r="BA50" s="112">
        <v>0</v>
      </c>
      <c r="BB50" s="115"/>
      <c r="BC50" s="112">
        <v>0</v>
      </c>
      <c r="BD50" s="112">
        <v>0</v>
      </c>
      <c r="BE50" s="115"/>
      <c r="BF50" s="112">
        <v>0</v>
      </c>
      <c r="BG50" s="112">
        <v>0</v>
      </c>
      <c r="BH50" s="115"/>
      <c r="BI50" s="112">
        <v>0</v>
      </c>
      <c r="BJ50" s="112">
        <v>0</v>
      </c>
      <c r="BK50" s="115"/>
      <c r="BL50" s="112">
        <v>0</v>
      </c>
      <c r="BM50" s="112">
        <v>0</v>
      </c>
      <c r="BN50" s="115"/>
      <c r="BO50" s="112">
        <v>0</v>
      </c>
      <c r="BP50" s="112">
        <v>0</v>
      </c>
      <c r="BQ50" s="115"/>
      <c r="BR50" s="112">
        <v>0</v>
      </c>
      <c r="BS50" s="112">
        <v>0</v>
      </c>
      <c r="BT50" s="115"/>
      <c r="BU50" s="112">
        <v>0</v>
      </c>
      <c r="BV50" s="112">
        <v>0</v>
      </c>
      <c r="BW50" s="115"/>
      <c r="BX50" s="112">
        <v>0</v>
      </c>
      <c r="BY50" s="112"/>
      <c r="BZ50" s="115"/>
      <c r="CA50" s="116">
        <v>0</v>
      </c>
      <c r="CB50" s="112"/>
      <c r="CC50" s="115"/>
      <c r="CD50" s="116">
        <v>0</v>
      </c>
      <c r="CE50" s="112"/>
      <c r="CF50" s="115"/>
      <c r="CG50" s="116">
        <v>0</v>
      </c>
      <c r="CH50" s="112"/>
      <c r="CI50" s="115"/>
      <c r="CJ50" s="116">
        <v>0</v>
      </c>
      <c r="CK50" s="112"/>
      <c r="CL50" s="115"/>
      <c r="CM50" s="116">
        <v>0</v>
      </c>
      <c r="CN50" s="112"/>
      <c r="CO50" s="115"/>
      <c r="CP50" s="92"/>
      <c r="CQ50" s="112"/>
    </row>
    <row r="51" spans="1:95" ht="12" x14ac:dyDescent="0.25">
      <c r="A51" s="111" t="s">
        <v>104</v>
      </c>
      <c r="B51" s="159"/>
      <c r="C51" s="112"/>
      <c r="D51" s="112">
        <v>0</v>
      </c>
      <c r="E51" s="112">
        <v>0</v>
      </c>
      <c r="F51" s="112"/>
      <c r="G51" s="112">
        <v>0</v>
      </c>
      <c r="H51" s="112"/>
      <c r="I51" s="112"/>
      <c r="J51" s="112">
        <v>0</v>
      </c>
      <c r="K51" s="112">
        <v>0</v>
      </c>
      <c r="L51" s="114"/>
      <c r="M51" s="112">
        <v>0</v>
      </c>
      <c r="N51" s="112">
        <v>0</v>
      </c>
      <c r="O51" s="114"/>
      <c r="P51" s="112">
        <v>0</v>
      </c>
      <c r="Q51" s="112">
        <v>0</v>
      </c>
      <c r="R51" s="114"/>
      <c r="S51" s="112">
        <v>0</v>
      </c>
      <c r="T51" s="112">
        <v>0</v>
      </c>
      <c r="U51" s="114"/>
      <c r="V51" s="112">
        <v>0</v>
      </c>
      <c r="W51" s="112">
        <v>0</v>
      </c>
      <c r="X51" s="115"/>
      <c r="Y51" s="112">
        <v>0</v>
      </c>
      <c r="Z51" s="112">
        <v>0</v>
      </c>
      <c r="AA51" s="115"/>
      <c r="AB51" s="112">
        <v>0</v>
      </c>
      <c r="AC51" s="112">
        <v>0</v>
      </c>
      <c r="AD51" s="115"/>
      <c r="AE51" s="112">
        <v>0</v>
      </c>
      <c r="AF51" s="112"/>
      <c r="AG51" s="115"/>
      <c r="AH51" s="112">
        <v>0</v>
      </c>
      <c r="AI51" s="112">
        <v>0</v>
      </c>
      <c r="AJ51" s="115"/>
      <c r="AK51" s="112">
        <v>0</v>
      </c>
      <c r="AL51" s="112">
        <v>0</v>
      </c>
      <c r="AM51" s="115"/>
      <c r="AN51" s="112">
        <v>0</v>
      </c>
      <c r="AO51" s="112">
        <v>0</v>
      </c>
      <c r="AP51" s="115"/>
      <c r="AQ51" s="112">
        <v>0</v>
      </c>
      <c r="AR51" s="112">
        <v>0</v>
      </c>
      <c r="AS51" s="115"/>
      <c r="AT51" s="112">
        <v>0</v>
      </c>
      <c r="AU51" s="112">
        <v>0</v>
      </c>
      <c r="AV51" s="115"/>
      <c r="AW51" s="112">
        <v>0</v>
      </c>
      <c r="AX51" s="112">
        <v>0</v>
      </c>
      <c r="AY51" s="115"/>
      <c r="AZ51" s="112">
        <v>0</v>
      </c>
      <c r="BA51" s="112">
        <v>0</v>
      </c>
      <c r="BB51" s="115"/>
      <c r="BC51" s="112">
        <v>0</v>
      </c>
      <c r="BD51" s="112">
        <v>0</v>
      </c>
      <c r="BE51" s="115"/>
      <c r="BF51" s="112">
        <v>0</v>
      </c>
      <c r="BG51" s="112">
        <v>0</v>
      </c>
      <c r="BH51" s="115"/>
      <c r="BI51" s="112">
        <v>0</v>
      </c>
      <c r="BJ51" s="112">
        <v>0</v>
      </c>
      <c r="BK51" s="115"/>
      <c r="BL51" s="112">
        <v>0</v>
      </c>
      <c r="BM51" s="112">
        <v>0</v>
      </c>
      <c r="BN51" s="115"/>
      <c r="BO51" s="112">
        <v>0</v>
      </c>
      <c r="BP51" s="112">
        <v>0</v>
      </c>
      <c r="BQ51" s="115"/>
      <c r="BR51" s="112">
        <v>0</v>
      </c>
      <c r="BS51" s="112">
        <v>0</v>
      </c>
      <c r="BT51" s="115"/>
      <c r="BU51" s="112">
        <v>0</v>
      </c>
      <c r="BV51" s="112">
        <v>0</v>
      </c>
      <c r="BW51" s="115"/>
      <c r="BX51" s="112">
        <v>0</v>
      </c>
      <c r="BY51" s="112"/>
      <c r="BZ51" s="115"/>
      <c r="CA51" s="116">
        <v>0</v>
      </c>
      <c r="CB51" s="112"/>
      <c r="CC51" s="115"/>
      <c r="CD51" s="116">
        <v>0</v>
      </c>
      <c r="CE51" s="112"/>
      <c r="CF51" s="115"/>
      <c r="CG51" s="116">
        <v>0</v>
      </c>
      <c r="CH51" s="112"/>
      <c r="CI51" s="115"/>
      <c r="CJ51" s="116">
        <v>0</v>
      </c>
      <c r="CK51" s="112"/>
      <c r="CL51" s="115"/>
      <c r="CM51" s="116">
        <v>0</v>
      </c>
      <c r="CN51" s="112"/>
      <c r="CO51" s="115"/>
      <c r="CP51" s="92"/>
      <c r="CQ51" s="112"/>
    </row>
    <row r="52" spans="1:95" ht="12" x14ac:dyDescent="0.25">
      <c r="A52" s="111" t="s">
        <v>105</v>
      </c>
      <c r="B52" s="159"/>
      <c r="C52" s="112"/>
      <c r="D52" s="112">
        <v>0</v>
      </c>
      <c r="E52" s="112">
        <v>0</v>
      </c>
      <c r="F52" s="112"/>
      <c r="G52" s="112">
        <v>0</v>
      </c>
      <c r="H52" s="112"/>
      <c r="I52" s="112"/>
      <c r="J52" s="112">
        <v>0</v>
      </c>
      <c r="K52" s="112">
        <v>0</v>
      </c>
      <c r="L52" s="114"/>
      <c r="M52" s="112">
        <v>0</v>
      </c>
      <c r="N52" s="112">
        <v>0</v>
      </c>
      <c r="O52" s="114"/>
      <c r="P52" s="112">
        <v>0</v>
      </c>
      <c r="Q52" s="112">
        <v>0</v>
      </c>
      <c r="R52" s="114"/>
      <c r="S52" s="112">
        <v>0</v>
      </c>
      <c r="T52" s="112">
        <v>0</v>
      </c>
      <c r="U52" s="114"/>
      <c r="V52" s="112">
        <v>0</v>
      </c>
      <c r="W52" s="112">
        <v>0</v>
      </c>
      <c r="X52" s="115"/>
      <c r="Y52" s="112">
        <v>0</v>
      </c>
      <c r="Z52" s="112">
        <v>0</v>
      </c>
      <c r="AA52" s="115"/>
      <c r="AB52" s="112">
        <v>0</v>
      </c>
      <c r="AC52" s="112">
        <v>0</v>
      </c>
      <c r="AD52" s="115"/>
      <c r="AE52" s="112">
        <v>0</v>
      </c>
      <c r="AF52" s="112"/>
      <c r="AG52" s="115"/>
      <c r="AH52" s="112">
        <v>2</v>
      </c>
      <c r="AI52" s="112">
        <v>0</v>
      </c>
      <c r="AJ52" s="115"/>
      <c r="AK52" s="112">
        <v>0</v>
      </c>
      <c r="AL52" s="112">
        <v>0</v>
      </c>
      <c r="AM52" s="115"/>
      <c r="AN52" s="112">
        <v>0</v>
      </c>
      <c r="AO52" s="112">
        <v>0</v>
      </c>
      <c r="AP52" s="115"/>
      <c r="AQ52" s="112">
        <v>0</v>
      </c>
      <c r="AR52" s="112">
        <v>2.6</v>
      </c>
      <c r="AS52" s="115"/>
      <c r="AT52" s="112">
        <v>0</v>
      </c>
      <c r="AU52" s="112">
        <v>0</v>
      </c>
      <c r="AV52" s="115"/>
      <c r="AW52" s="112">
        <v>0</v>
      </c>
      <c r="AX52" s="112">
        <v>0</v>
      </c>
      <c r="AY52" s="115"/>
      <c r="AZ52" s="112">
        <v>0</v>
      </c>
      <c r="BA52" s="112">
        <v>0</v>
      </c>
      <c r="BB52" s="115"/>
      <c r="BC52" s="112">
        <v>0</v>
      </c>
      <c r="BD52" s="112">
        <v>0</v>
      </c>
      <c r="BE52" s="115"/>
      <c r="BF52" s="112">
        <v>0</v>
      </c>
      <c r="BG52" s="112">
        <v>0</v>
      </c>
      <c r="BH52" s="115"/>
      <c r="BI52" s="112">
        <v>0</v>
      </c>
      <c r="BJ52" s="112">
        <v>0</v>
      </c>
      <c r="BK52" s="115"/>
      <c r="BL52" s="112">
        <v>0</v>
      </c>
      <c r="BM52" s="112">
        <v>0</v>
      </c>
      <c r="BN52" s="115"/>
      <c r="BO52" s="112">
        <v>0</v>
      </c>
      <c r="BP52" s="112">
        <v>0</v>
      </c>
      <c r="BQ52" s="115"/>
      <c r="BR52" s="112">
        <v>0</v>
      </c>
      <c r="BS52" s="112">
        <v>0</v>
      </c>
      <c r="BT52" s="115"/>
      <c r="BU52" s="112">
        <v>0</v>
      </c>
      <c r="BV52" s="112">
        <v>0</v>
      </c>
      <c r="BW52" s="115"/>
      <c r="BX52" s="112">
        <v>0</v>
      </c>
      <c r="BY52" s="112"/>
      <c r="BZ52" s="115"/>
      <c r="CA52" s="116">
        <v>0</v>
      </c>
      <c r="CB52" s="112"/>
      <c r="CC52" s="115"/>
      <c r="CD52" s="116">
        <v>0</v>
      </c>
      <c r="CE52" s="112"/>
      <c r="CF52" s="115"/>
      <c r="CG52" s="116">
        <v>0</v>
      </c>
      <c r="CH52" s="112"/>
      <c r="CI52" s="115"/>
      <c r="CJ52" s="116">
        <v>0</v>
      </c>
      <c r="CK52" s="112"/>
      <c r="CL52" s="115"/>
      <c r="CM52" s="116">
        <v>0</v>
      </c>
      <c r="CN52" s="112"/>
      <c r="CO52" s="115"/>
      <c r="CP52" s="92"/>
      <c r="CQ52" s="112"/>
    </row>
    <row r="53" spans="1:95" ht="12" x14ac:dyDescent="0.25">
      <c r="A53" s="111" t="s">
        <v>106</v>
      </c>
      <c r="B53" s="159"/>
      <c r="C53" s="112"/>
      <c r="D53" s="112">
        <v>0</v>
      </c>
      <c r="E53" s="112">
        <v>2</v>
      </c>
      <c r="F53" s="112"/>
      <c r="G53" s="112">
        <v>0</v>
      </c>
      <c r="H53" s="112"/>
      <c r="I53" s="112"/>
      <c r="J53" s="112">
        <v>0</v>
      </c>
      <c r="K53" s="112">
        <v>0</v>
      </c>
      <c r="L53" s="114"/>
      <c r="M53" s="112">
        <v>0</v>
      </c>
      <c r="N53" s="112">
        <v>0</v>
      </c>
      <c r="O53" s="114"/>
      <c r="P53" s="112">
        <v>0</v>
      </c>
      <c r="Q53" s="112">
        <v>0</v>
      </c>
      <c r="R53" s="114"/>
      <c r="S53" s="112">
        <v>0</v>
      </c>
      <c r="T53" s="112">
        <v>0</v>
      </c>
      <c r="U53" s="114"/>
      <c r="V53" s="112">
        <v>0</v>
      </c>
      <c r="W53" s="112">
        <v>0</v>
      </c>
      <c r="X53" s="115"/>
      <c r="Y53" s="112">
        <v>0</v>
      </c>
      <c r="Z53" s="112">
        <v>0</v>
      </c>
      <c r="AA53" s="115"/>
      <c r="AB53" s="112">
        <v>0</v>
      </c>
      <c r="AC53" s="112">
        <v>0</v>
      </c>
      <c r="AD53" s="115"/>
      <c r="AE53" s="112">
        <v>0</v>
      </c>
      <c r="AF53" s="112"/>
      <c r="AG53" s="115"/>
      <c r="AH53" s="112">
        <v>2</v>
      </c>
      <c r="AI53" s="112">
        <v>0</v>
      </c>
      <c r="AJ53" s="115"/>
      <c r="AK53" s="112">
        <v>0</v>
      </c>
      <c r="AL53" s="112">
        <v>2.6</v>
      </c>
      <c r="AM53" s="115"/>
      <c r="AN53" s="112">
        <v>0</v>
      </c>
      <c r="AO53" s="112">
        <v>0</v>
      </c>
      <c r="AP53" s="115"/>
      <c r="AQ53" s="112">
        <v>0</v>
      </c>
      <c r="AR53" s="112">
        <v>2.6</v>
      </c>
      <c r="AS53" s="115"/>
      <c r="AT53" s="112">
        <v>0</v>
      </c>
      <c r="AU53" s="112">
        <v>0</v>
      </c>
      <c r="AV53" s="115"/>
      <c r="AW53" s="112">
        <v>0</v>
      </c>
      <c r="AX53" s="112">
        <v>0</v>
      </c>
      <c r="AY53" s="115"/>
      <c r="AZ53" s="112">
        <v>0</v>
      </c>
      <c r="BA53" s="112">
        <v>0</v>
      </c>
      <c r="BB53" s="115"/>
      <c r="BC53" s="112">
        <v>0</v>
      </c>
      <c r="BD53" s="112">
        <v>0</v>
      </c>
      <c r="BE53" s="115"/>
      <c r="BF53" s="112">
        <v>0</v>
      </c>
      <c r="BG53" s="112">
        <v>0</v>
      </c>
      <c r="BH53" s="115"/>
      <c r="BI53" s="112">
        <v>0</v>
      </c>
      <c r="BJ53" s="112">
        <v>0</v>
      </c>
      <c r="BK53" s="115"/>
      <c r="BL53" s="112">
        <v>0</v>
      </c>
      <c r="BM53" s="112">
        <v>0</v>
      </c>
      <c r="BN53" s="115"/>
      <c r="BO53" s="112">
        <v>0</v>
      </c>
      <c r="BP53" s="112">
        <v>0</v>
      </c>
      <c r="BQ53" s="115"/>
      <c r="BR53" s="112">
        <v>0</v>
      </c>
      <c r="BS53" s="112">
        <v>0</v>
      </c>
      <c r="BT53" s="115"/>
      <c r="BU53" s="112">
        <v>0</v>
      </c>
      <c r="BV53" s="112">
        <v>0</v>
      </c>
      <c r="BW53" s="115"/>
      <c r="BX53" s="112">
        <v>0</v>
      </c>
      <c r="BY53" s="112"/>
      <c r="BZ53" s="115"/>
      <c r="CA53" s="116">
        <v>0</v>
      </c>
      <c r="CB53" s="112"/>
      <c r="CC53" s="115"/>
      <c r="CD53" s="116">
        <v>0</v>
      </c>
      <c r="CE53" s="112"/>
      <c r="CF53" s="115"/>
      <c r="CG53" s="116">
        <v>0</v>
      </c>
      <c r="CH53" s="112"/>
      <c r="CI53" s="115"/>
      <c r="CJ53" s="116">
        <v>0</v>
      </c>
      <c r="CK53" s="112"/>
      <c r="CL53" s="115"/>
      <c r="CM53" s="116">
        <v>0</v>
      </c>
      <c r="CN53" s="112"/>
      <c r="CO53" s="115"/>
      <c r="CP53" s="92"/>
      <c r="CQ53" s="112"/>
    </row>
    <row r="54" spans="1:95" ht="12" x14ac:dyDescent="0.25">
      <c r="A54" s="111" t="s">
        <v>107</v>
      </c>
      <c r="B54" s="159"/>
      <c r="C54" s="112"/>
      <c r="D54" s="112">
        <v>0</v>
      </c>
      <c r="E54" s="112">
        <v>2</v>
      </c>
      <c r="F54" s="112"/>
      <c r="G54" s="112">
        <v>0</v>
      </c>
      <c r="H54" s="112"/>
      <c r="I54" s="112"/>
      <c r="J54" s="112">
        <v>0</v>
      </c>
      <c r="K54" s="112">
        <v>0</v>
      </c>
      <c r="L54" s="114"/>
      <c r="M54" s="112">
        <v>0</v>
      </c>
      <c r="N54" s="112">
        <v>0</v>
      </c>
      <c r="O54" s="114"/>
      <c r="P54" s="112">
        <v>0</v>
      </c>
      <c r="Q54" s="112">
        <v>0</v>
      </c>
      <c r="R54" s="114"/>
      <c r="S54" s="112">
        <v>0</v>
      </c>
      <c r="T54" s="112">
        <v>0</v>
      </c>
      <c r="U54" s="114"/>
      <c r="V54" s="112">
        <v>0</v>
      </c>
      <c r="W54" s="112">
        <v>0</v>
      </c>
      <c r="X54" s="115"/>
      <c r="Y54" s="112">
        <v>0</v>
      </c>
      <c r="Z54" s="112">
        <v>2.6</v>
      </c>
      <c r="AA54" s="115"/>
      <c r="AB54" s="112">
        <v>0</v>
      </c>
      <c r="AC54" s="112">
        <v>0</v>
      </c>
      <c r="AD54" s="115"/>
      <c r="AE54" s="112">
        <v>0</v>
      </c>
      <c r="AF54" s="112"/>
      <c r="AG54" s="115"/>
      <c r="AH54" s="112">
        <v>2</v>
      </c>
      <c r="AI54" s="112">
        <v>0</v>
      </c>
      <c r="AJ54" s="115"/>
      <c r="AK54" s="112">
        <v>0</v>
      </c>
      <c r="AL54" s="112">
        <v>0</v>
      </c>
      <c r="AM54" s="115"/>
      <c r="AN54" s="112">
        <v>0</v>
      </c>
      <c r="AO54" s="112">
        <v>0</v>
      </c>
      <c r="AP54" s="115"/>
      <c r="AQ54" s="112">
        <v>0</v>
      </c>
      <c r="AR54" s="112">
        <v>0</v>
      </c>
      <c r="AS54" s="115"/>
      <c r="AT54" s="112">
        <v>0</v>
      </c>
      <c r="AU54" s="112">
        <v>0</v>
      </c>
      <c r="AV54" s="115"/>
      <c r="AW54" s="112">
        <v>0</v>
      </c>
      <c r="AX54" s="112">
        <v>0</v>
      </c>
      <c r="AY54" s="115"/>
      <c r="AZ54" s="112">
        <v>0</v>
      </c>
      <c r="BA54" s="112">
        <v>0</v>
      </c>
      <c r="BB54" s="115"/>
      <c r="BC54" s="112">
        <v>0</v>
      </c>
      <c r="BD54" s="112">
        <v>0</v>
      </c>
      <c r="BE54" s="115"/>
      <c r="BF54" s="112">
        <v>0</v>
      </c>
      <c r="BG54" s="112">
        <v>0</v>
      </c>
      <c r="BH54" s="115"/>
      <c r="BI54" s="112">
        <v>0</v>
      </c>
      <c r="BJ54" s="112">
        <v>0</v>
      </c>
      <c r="BK54" s="115"/>
      <c r="BL54" s="112">
        <v>0</v>
      </c>
      <c r="BM54" s="112">
        <v>0</v>
      </c>
      <c r="BN54" s="115"/>
      <c r="BO54" s="112">
        <v>0</v>
      </c>
      <c r="BP54" s="112">
        <v>0</v>
      </c>
      <c r="BQ54" s="115"/>
      <c r="BR54" s="112">
        <v>0</v>
      </c>
      <c r="BS54" s="112">
        <v>0</v>
      </c>
      <c r="BT54" s="115"/>
      <c r="BU54" s="112">
        <v>0</v>
      </c>
      <c r="BV54" s="112">
        <v>0</v>
      </c>
      <c r="BW54" s="115"/>
      <c r="BX54" s="112">
        <v>0</v>
      </c>
      <c r="BY54" s="112"/>
      <c r="BZ54" s="115"/>
      <c r="CA54" s="116">
        <v>0</v>
      </c>
      <c r="CB54" s="112"/>
      <c r="CC54" s="115"/>
      <c r="CD54" s="116">
        <v>0</v>
      </c>
      <c r="CE54" s="112"/>
      <c r="CF54" s="115"/>
      <c r="CG54" s="116">
        <v>0</v>
      </c>
      <c r="CH54" s="112"/>
      <c r="CI54" s="115"/>
      <c r="CJ54" s="116">
        <v>0</v>
      </c>
      <c r="CK54" s="112"/>
      <c r="CL54" s="115"/>
      <c r="CM54" s="116">
        <v>0</v>
      </c>
      <c r="CN54" s="112"/>
      <c r="CO54" s="115"/>
      <c r="CP54" s="92"/>
      <c r="CQ54" s="112"/>
    </row>
    <row r="55" spans="1:95" ht="12" x14ac:dyDescent="0.25">
      <c r="A55" s="111" t="s">
        <v>108</v>
      </c>
      <c r="B55" s="159"/>
      <c r="C55" s="112"/>
      <c r="D55" s="112">
        <v>0</v>
      </c>
      <c r="E55" s="112">
        <v>2</v>
      </c>
      <c r="F55" s="112"/>
      <c r="G55" s="112">
        <v>0</v>
      </c>
      <c r="H55" s="112"/>
      <c r="I55" s="112"/>
      <c r="J55" s="112">
        <v>0</v>
      </c>
      <c r="K55" s="112">
        <v>0</v>
      </c>
      <c r="L55" s="114"/>
      <c r="M55" s="112">
        <v>2</v>
      </c>
      <c r="N55" s="112">
        <v>0</v>
      </c>
      <c r="O55" s="114"/>
      <c r="P55" s="112">
        <v>0</v>
      </c>
      <c r="Q55" s="112">
        <v>0</v>
      </c>
      <c r="R55" s="114"/>
      <c r="S55" s="112">
        <v>0</v>
      </c>
      <c r="T55" s="112">
        <v>0</v>
      </c>
      <c r="U55" s="114"/>
      <c r="V55" s="112">
        <v>0</v>
      </c>
      <c r="W55" s="112">
        <v>0</v>
      </c>
      <c r="X55" s="115"/>
      <c r="Y55" s="112">
        <v>0</v>
      </c>
      <c r="Z55" s="112">
        <v>2.6</v>
      </c>
      <c r="AA55" s="115"/>
      <c r="AB55" s="112">
        <v>0</v>
      </c>
      <c r="AC55" s="112">
        <v>2.6</v>
      </c>
      <c r="AD55" s="115"/>
      <c r="AE55" s="112">
        <v>0</v>
      </c>
      <c r="AF55" s="112"/>
      <c r="AG55" s="115"/>
      <c r="AH55" s="112">
        <v>2</v>
      </c>
      <c r="AI55" s="112">
        <v>0</v>
      </c>
      <c r="AJ55" s="115"/>
      <c r="AK55" s="112">
        <v>0</v>
      </c>
      <c r="AL55" s="112">
        <v>0</v>
      </c>
      <c r="AM55" s="115"/>
      <c r="AN55" s="112">
        <v>0</v>
      </c>
      <c r="AO55" s="112">
        <v>0</v>
      </c>
      <c r="AP55" s="115"/>
      <c r="AQ55" s="112">
        <v>0</v>
      </c>
      <c r="AR55" s="112">
        <v>0</v>
      </c>
      <c r="AS55" s="115"/>
      <c r="AT55" s="112">
        <v>0</v>
      </c>
      <c r="AU55" s="112">
        <v>0</v>
      </c>
      <c r="AV55" s="115"/>
      <c r="AW55" s="112">
        <v>0</v>
      </c>
      <c r="AX55" s="112">
        <v>0</v>
      </c>
      <c r="AY55" s="115"/>
      <c r="AZ55" s="112">
        <v>0</v>
      </c>
      <c r="BA55" s="112">
        <v>0</v>
      </c>
      <c r="BB55" s="115"/>
      <c r="BC55" s="112">
        <v>0</v>
      </c>
      <c r="BD55" s="112">
        <v>0</v>
      </c>
      <c r="BE55" s="115"/>
      <c r="BF55" s="112">
        <v>0</v>
      </c>
      <c r="BG55" s="112">
        <v>0</v>
      </c>
      <c r="BH55" s="115"/>
      <c r="BI55" s="112">
        <v>0</v>
      </c>
      <c r="BJ55" s="112">
        <v>0</v>
      </c>
      <c r="BK55" s="115"/>
      <c r="BL55" s="112">
        <v>0</v>
      </c>
      <c r="BM55" s="112">
        <v>0</v>
      </c>
      <c r="BN55" s="115"/>
      <c r="BO55" s="112">
        <v>0</v>
      </c>
      <c r="BP55" s="112">
        <v>0</v>
      </c>
      <c r="BQ55" s="115"/>
      <c r="BR55" s="112">
        <v>0</v>
      </c>
      <c r="BS55" s="112">
        <v>0</v>
      </c>
      <c r="BT55" s="115"/>
      <c r="BU55" s="112">
        <v>0.02</v>
      </c>
      <c r="BV55" s="112">
        <v>0</v>
      </c>
      <c r="BW55" s="115"/>
      <c r="BX55" s="112">
        <v>0</v>
      </c>
      <c r="BY55" s="112"/>
      <c r="BZ55" s="115"/>
      <c r="CA55" s="116">
        <v>0</v>
      </c>
      <c r="CB55" s="112"/>
      <c r="CC55" s="115"/>
      <c r="CD55" s="116">
        <v>0</v>
      </c>
      <c r="CE55" s="112"/>
      <c r="CF55" s="115"/>
      <c r="CG55" s="116">
        <v>0</v>
      </c>
      <c r="CH55" s="112"/>
      <c r="CI55" s="115"/>
      <c r="CJ55" s="116">
        <v>0</v>
      </c>
      <c r="CK55" s="112"/>
      <c r="CL55" s="115"/>
      <c r="CM55" s="116">
        <v>0</v>
      </c>
      <c r="CN55" s="112"/>
      <c r="CO55" s="115"/>
      <c r="CP55" s="92"/>
      <c r="CQ55" s="112"/>
    </row>
    <row r="56" spans="1:95" ht="12" x14ac:dyDescent="0.25">
      <c r="A56" s="111" t="s">
        <v>109</v>
      </c>
      <c r="B56" s="159"/>
      <c r="C56" s="112"/>
      <c r="D56" s="112">
        <v>0</v>
      </c>
      <c r="E56" s="112">
        <v>2</v>
      </c>
      <c r="F56" s="112"/>
      <c r="G56" s="112">
        <v>0</v>
      </c>
      <c r="H56" s="112"/>
      <c r="I56" s="112"/>
      <c r="J56" s="112">
        <v>0</v>
      </c>
      <c r="K56" s="112">
        <v>0</v>
      </c>
      <c r="L56" s="114"/>
      <c r="M56" s="112">
        <v>2</v>
      </c>
      <c r="N56" s="112">
        <v>0</v>
      </c>
      <c r="O56" s="114"/>
      <c r="P56" s="112">
        <v>0</v>
      </c>
      <c r="Q56" s="112">
        <v>0</v>
      </c>
      <c r="R56" s="114"/>
      <c r="S56" s="112">
        <v>0</v>
      </c>
      <c r="T56" s="112">
        <v>0</v>
      </c>
      <c r="U56" s="114"/>
      <c r="V56" s="112">
        <v>0</v>
      </c>
      <c r="W56" s="112">
        <v>0</v>
      </c>
      <c r="X56" s="115"/>
      <c r="Y56" s="112">
        <v>0</v>
      </c>
      <c r="Z56" s="112">
        <v>2.6</v>
      </c>
      <c r="AA56" s="115"/>
      <c r="AB56" s="112">
        <v>0</v>
      </c>
      <c r="AC56" s="112">
        <v>0</v>
      </c>
      <c r="AD56" s="115"/>
      <c r="AE56" s="112">
        <v>0</v>
      </c>
      <c r="AF56" s="112"/>
      <c r="AG56" s="115"/>
      <c r="AH56" s="112">
        <v>2</v>
      </c>
      <c r="AI56" s="112">
        <v>0.6</v>
      </c>
      <c r="AJ56" s="115"/>
      <c r="AK56" s="112">
        <v>0</v>
      </c>
      <c r="AL56" s="112">
        <v>0</v>
      </c>
      <c r="AM56" s="115"/>
      <c r="AN56" s="112">
        <v>0</v>
      </c>
      <c r="AO56" s="112">
        <v>0</v>
      </c>
      <c r="AP56" s="115"/>
      <c r="AQ56" s="112">
        <v>0</v>
      </c>
      <c r="AR56" s="112">
        <v>2.6</v>
      </c>
      <c r="AS56" s="115"/>
      <c r="AT56" s="112">
        <v>0</v>
      </c>
      <c r="AU56" s="112">
        <v>0</v>
      </c>
      <c r="AV56" s="115"/>
      <c r="AW56" s="112">
        <v>0</v>
      </c>
      <c r="AX56" s="112">
        <v>0</v>
      </c>
      <c r="AY56" s="115"/>
      <c r="AZ56" s="112">
        <v>0</v>
      </c>
      <c r="BA56" s="112">
        <v>0</v>
      </c>
      <c r="BB56" s="115"/>
      <c r="BC56" s="112">
        <v>0</v>
      </c>
      <c r="BD56" s="112">
        <v>0</v>
      </c>
      <c r="BE56" s="115"/>
      <c r="BF56" s="112">
        <v>0</v>
      </c>
      <c r="BG56" s="112">
        <v>0</v>
      </c>
      <c r="BH56" s="115"/>
      <c r="BI56" s="112">
        <v>0</v>
      </c>
      <c r="BJ56" s="112">
        <v>0</v>
      </c>
      <c r="BK56" s="115"/>
      <c r="BL56" s="112">
        <v>0</v>
      </c>
      <c r="BM56" s="112">
        <v>0</v>
      </c>
      <c r="BN56" s="115"/>
      <c r="BO56" s="112">
        <v>0</v>
      </c>
      <c r="BP56" s="112">
        <v>0</v>
      </c>
      <c r="BQ56" s="115"/>
      <c r="BR56" s="112">
        <v>0</v>
      </c>
      <c r="BS56" s="112">
        <v>0</v>
      </c>
      <c r="BT56" s="115"/>
      <c r="BU56" s="112">
        <v>2</v>
      </c>
      <c r="BV56" s="112">
        <v>0</v>
      </c>
      <c r="BW56" s="115"/>
      <c r="BX56" s="112">
        <v>0</v>
      </c>
      <c r="BY56" s="112"/>
      <c r="BZ56" s="115"/>
      <c r="CA56" s="116">
        <v>0</v>
      </c>
      <c r="CB56" s="112"/>
      <c r="CC56" s="115"/>
      <c r="CD56" s="116">
        <v>0</v>
      </c>
      <c r="CE56" s="112"/>
      <c r="CF56" s="115"/>
      <c r="CG56" s="116">
        <v>0</v>
      </c>
      <c r="CH56" s="112"/>
      <c r="CI56" s="115"/>
      <c r="CJ56" s="116">
        <v>0</v>
      </c>
      <c r="CK56" s="112"/>
      <c r="CL56" s="115"/>
      <c r="CM56" s="116">
        <v>0</v>
      </c>
      <c r="CN56" s="112"/>
      <c r="CO56" s="115"/>
      <c r="CP56" s="92"/>
      <c r="CQ56" s="112"/>
    </row>
    <row r="57" spans="1:95" ht="12" x14ac:dyDescent="0.25">
      <c r="A57" s="111" t="s">
        <v>110</v>
      </c>
      <c r="B57" s="159"/>
      <c r="C57" s="112"/>
      <c r="D57" s="112">
        <v>0</v>
      </c>
      <c r="E57" s="112">
        <v>0</v>
      </c>
      <c r="F57" s="112"/>
      <c r="G57" s="112">
        <v>0</v>
      </c>
      <c r="H57" s="112"/>
      <c r="I57" s="112"/>
      <c r="J57" s="112">
        <v>0</v>
      </c>
      <c r="K57" s="112">
        <v>0</v>
      </c>
      <c r="L57" s="114"/>
      <c r="M57" s="112">
        <v>2</v>
      </c>
      <c r="N57" s="112">
        <v>0</v>
      </c>
      <c r="O57" s="114"/>
      <c r="P57" s="112">
        <v>0</v>
      </c>
      <c r="Q57" s="112">
        <v>0</v>
      </c>
      <c r="R57" s="114"/>
      <c r="S57" s="112">
        <v>0</v>
      </c>
      <c r="T57" s="112">
        <v>0</v>
      </c>
      <c r="U57" s="114"/>
      <c r="V57" s="112">
        <v>0</v>
      </c>
      <c r="W57" s="112">
        <v>0</v>
      </c>
      <c r="X57" s="115"/>
      <c r="Y57" s="112">
        <v>0</v>
      </c>
      <c r="Z57" s="112">
        <v>0</v>
      </c>
      <c r="AA57" s="115"/>
      <c r="AB57" s="112">
        <v>0</v>
      </c>
      <c r="AC57" s="112">
        <v>0</v>
      </c>
      <c r="AD57" s="115"/>
      <c r="AE57" s="112">
        <v>0</v>
      </c>
      <c r="AF57" s="112"/>
      <c r="AG57" s="115"/>
      <c r="AH57" s="112">
        <v>2</v>
      </c>
      <c r="AI57" s="112">
        <v>0</v>
      </c>
      <c r="AJ57" s="115"/>
      <c r="AK57" s="112">
        <v>0</v>
      </c>
      <c r="AL57" s="112">
        <v>0</v>
      </c>
      <c r="AM57" s="115"/>
      <c r="AN57" s="112">
        <v>0</v>
      </c>
      <c r="AO57" s="112">
        <v>0</v>
      </c>
      <c r="AP57" s="115"/>
      <c r="AQ57" s="112">
        <v>0</v>
      </c>
      <c r="AR57" s="112">
        <v>2.6</v>
      </c>
      <c r="AS57" s="115"/>
      <c r="AT57" s="112">
        <v>0</v>
      </c>
      <c r="AU57" s="112">
        <v>0</v>
      </c>
      <c r="AV57" s="115"/>
      <c r="AW57" s="112">
        <v>0</v>
      </c>
      <c r="AX57" s="112">
        <v>0</v>
      </c>
      <c r="AY57" s="115"/>
      <c r="AZ57" s="112">
        <v>0</v>
      </c>
      <c r="BA57" s="112">
        <v>0</v>
      </c>
      <c r="BB57" s="115"/>
      <c r="BC57" s="112">
        <v>0</v>
      </c>
      <c r="BD57" s="112">
        <v>0</v>
      </c>
      <c r="BE57" s="115"/>
      <c r="BF57" s="112">
        <v>0</v>
      </c>
      <c r="BG57" s="112">
        <v>0</v>
      </c>
      <c r="BH57" s="115"/>
      <c r="BI57" s="112">
        <v>0</v>
      </c>
      <c r="BJ57" s="112">
        <v>0</v>
      </c>
      <c r="BK57" s="115"/>
      <c r="BL57" s="112">
        <v>0</v>
      </c>
      <c r="BM57" s="112">
        <v>0</v>
      </c>
      <c r="BN57" s="115"/>
      <c r="BO57" s="112">
        <v>0</v>
      </c>
      <c r="BP57" s="112">
        <v>0</v>
      </c>
      <c r="BQ57" s="115"/>
      <c r="BR57" s="112">
        <v>0</v>
      </c>
      <c r="BS57" s="112">
        <v>0</v>
      </c>
      <c r="BT57" s="115"/>
      <c r="BU57" s="112">
        <v>2</v>
      </c>
      <c r="BV57" s="112">
        <v>0</v>
      </c>
      <c r="BW57" s="115"/>
      <c r="BX57" s="112">
        <v>0</v>
      </c>
      <c r="BY57" s="112"/>
      <c r="BZ57" s="115"/>
      <c r="CA57" s="116">
        <v>0</v>
      </c>
      <c r="CB57" s="112"/>
      <c r="CC57" s="115"/>
      <c r="CD57" s="116">
        <v>0</v>
      </c>
      <c r="CE57" s="112"/>
      <c r="CF57" s="115"/>
      <c r="CG57" s="116">
        <v>0</v>
      </c>
      <c r="CH57" s="112"/>
      <c r="CI57" s="115"/>
      <c r="CJ57" s="116">
        <v>0</v>
      </c>
      <c r="CK57" s="112"/>
      <c r="CL57" s="115"/>
      <c r="CM57" s="116">
        <v>0</v>
      </c>
      <c r="CN57" s="112"/>
      <c r="CO57" s="115"/>
      <c r="CP57" s="92"/>
      <c r="CQ57" s="112"/>
    </row>
    <row r="58" spans="1:95" ht="12" x14ac:dyDescent="0.25">
      <c r="A58" s="111" t="s">
        <v>111</v>
      </c>
      <c r="B58" s="159"/>
      <c r="C58" s="112"/>
      <c r="D58" s="112">
        <v>0</v>
      </c>
      <c r="E58" s="112">
        <v>0</v>
      </c>
      <c r="F58" s="112"/>
      <c r="G58" s="112">
        <v>0</v>
      </c>
      <c r="H58" s="112"/>
      <c r="I58" s="112"/>
      <c r="J58" s="112">
        <v>0</v>
      </c>
      <c r="K58" s="112">
        <v>0</v>
      </c>
      <c r="L58" s="114"/>
      <c r="M58" s="112">
        <v>2</v>
      </c>
      <c r="N58" s="112">
        <v>0</v>
      </c>
      <c r="O58" s="114"/>
      <c r="P58" s="112">
        <v>0</v>
      </c>
      <c r="Q58" s="112">
        <v>0</v>
      </c>
      <c r="R58" s="114"/>
      <c r="S58" s="112">
        <v>0</v>
      </c>
      <c r="T58" s="112">
        <v>2</v>
      </c>
      <c r="U58" s="114"/>
      <c r="V58" s="112">
        <v>0</v>
      </c>
      <c r="W58" s="112">
        <v>0</v>
      </c>
      <c r="X58" s="115"/>
      <c r="Y58" s="112">
        <v>0</v>
      </c>
      <c r="Z58" s="112">
        <v>0</v>
      </c>
      <c r="AA58" s="115"/>
      <c r="AB58" s="112">
        <v>0</v>
      </c>
      <c r="AC58" s="112">
        <v>0</v>
      </c>
      <c r="AD58" s="115"/>
      <c r="AE58" s="112">
        <v>0</v>
      </c>
      <c r="AF58" s="112"/>
      <c r="AG58" s="115"/>
      <c r="AH58" s="112">
        <v>2</v>
      </c>
      <c r="AI58" s="112">
        <v>0.6</v>
      </c>
      <c r="AJ58" s="115"/>
      <c r="AK58" s="112">
        <v>0</v>
      </c>
      <c r="AL58" s="112">
        <v>0</v>
      </c>
      <c r="AM58" s="115"/>
      <c r="AN58" s="112">
        <v>2</v>
      </c>
      <c r="AO58" s="112">
        <v>0</v>
      </c>
      <c r="AP58" s="115"/>
      <c r="AQ58" s="112">
        <v>0</v>
      </c>
      <c r="AR58" s="112">
        <v>2.6</v>
      </c>
      <c r="AS58" s="115"/>
      <c r="AT58" s="112">
        <v>0</v>
      </c>
      <c r="AU58" s="112">
        <v>0</v>
      </c>
      <c r="AV58" s="115"/>
      <c r="AW58" s="112">
        <v>0</v>
      </c>
      <c r="AX58" s="112">
        <v>0</v>
      </c>
      <c r="AY58" s="115"/>
      <c r="AZ58" s="112">
        <v>0</v>
      </c>
      <c r="BA58" s="112">
        <v>0</v>
      </c>
      <c r="BB58" s="115"/>
      <c r="BC58" s="112">
        <v>2</v>
      </c>
      <c r="BD58" s="112">
        <v>0</v>
      </c>
      <c r="BE58" s="115"/>
      <c r="BF58" s="112">
        <v>0</v>
      </c>
      <c r="BG58" s="112">
        <v>0</v>
      </c>
      <c r="BH58" s="115"/>
      <c r="BI58" s="112">
        <v>0</v>
      </c>
      <c r="BJ58" s="112">
        <v>0</v>
      </c>
      <c r="BK58" s="115"/>
      <c r="BL58" s="112">
        <v>0</v>
      </c>
      <c r="BM58" s="112">
        <v>0</v>
      </c>
      <c r="BN58" s="115"/>
      <c r="BO58" s="112">
        <v>0</v>
      </c>
      <c r="BP58" s="112">
        <v>0</v>
      </c>
      <c r="BQ58" s="115"/>
      <c r="BR58" s="112">
        <v>0</v>
      </c>
      <c r="BS58" s="112">
        <v>0</v>
      </c>
      <c r="BT58" s="115"/>
      <c r="BU58" s="112">
        <v>2</v>
      </c>
      <c r="BV58" s="112">
        <v>0</v>
      </c>
      <c r="BW58" s="115"/>
      <c r="BX58" s="112">
        <v>2</v>
      </c>
      <c r="BY58" s="112"/>
      <c r="BZ58" s="115"/>
      <c r="CA58" s="116">
        <v>0</v>
      </c>
      <c r="CB58" s="112"/>
      <c r="CC58" s="115"/>
      <c r="CD58" s="116">
        <v>0</v>
      </c>
      <c r="CE58" s="112"/>
      <c r="CF58" s="115"/>
      <c r="CG58" s="116">
        <v>0</v>
      </c>
      <c r="CH58" s="112"/>
      <c r="CI58" s="115"/>
      <c r="CJ58" s="116">
        <v>0</v>
      </c>
      <c r="CK58" s="112"/>
      <c r="CL58" s="115"/>
      <c r="CM58" s="116">
        <v>0</v>
      </c>
      <c r="CN58" s="112"/>
      <c r="CO58" s="115"/>
      <c r="CP58" s="92"/>
      <c r="CQ58" s="112"/>
    </row>
    <row r="59" spans="1:95" ht="12" x14ac:dyDescent="0.25">
      <c r="A59" s="111" t="s">
        <v>112</v>
      </c>
      <c r="B59" s="159"/>
      <c r="C59" s="112"/>
      <c r="D59" s="112">
        <v>0</v>
      </c>
      <c r="E59" s="112">
        <v>2</v>
      </c>
      <c r="F59" s="112"/>
      <c r="G59" s="112">
        <v>0</v>
      </c>
      <c r="H59" s="112"/>
      <c r="I59" s="112"/>
      <c r="J59" s="112">
        <v>2</v>
      </c>
      <c r="K59" s="112">
        <v>0</v>
      </c>
      <c r="L59" s="114"/>
      <c r="M59" s="112">
        <v>2</v>
      </c>
      <c r="N59" s="112">
        <v>0</v>
      </c>
      <c r="O59" s="114"/>
      <c r="P59" s="112">
        <v>2</v>
      </c>
      <c r="Q59" s="112">
        <v>0</v>
      </c>
      <c r="R59" s="114"/>
      <c r="S59" s="112">
        <v>2</v>
      </c>
      <c r="T59" s="112">
        <v>0</v>
      </c>
      <c r="U59" s="114"/>
      <c r="V59" s="112">
        <v>2</v>
      </c>
      <c r="W59" s="112">
        <v>0.6</v>
      </c>
      <c r="X59" s="115"/>
      <c r="Y59" s="112">
        <v>2</v>
      </c>
      <c r="Z59" s="112">
        <v>0</v>
      </c>
      <c r="AA59" s="115"/>
      <c r="AB59" s="112">
        <v>2</v>
      </c>
      <c r="AC59" s="112">
        <v>0.6</v>
      </c>
      <c r="AD59" s="115"/>
      <c r="AE59" s="112">
        <v>2</v>
      </c>
      <c r="AF59" s="112"/>
      <c r="AG59" s="115"/>
      <c r="AH59" s="112">
        <v>2</v>
      </c>
      <c r="AI59" s="112">
        <v>0.6</v>
      </c>
      <c r="AJ59" s="115"/>
      <c r="AK59" s="112">
        <v>2</v>
      </c>
      <c r="AL59" s="112">
        <v>0.6</v>
      </c>
      <c r="AM59" s="115"/>
      <c r="AN59" s="112">
        <v>2</v>
      </c>
      <c r="AO59" s="112">
        <v>0.6</v>
      </c>
      <c r="AP59" s="115"/>
      <c r="AQ59" s="112">
        <v>2</v>
      </c>
      <c r="AR59" s="112">
        <v>0.6</v>
      </c>
      <c r="AS59" s="115"/>
      <c r="AT59" s="112">
        <v>2</v>
      </c>
      <c r="AU59" s="112">
        <v>0.6</v>
      </c>
      <c r="AV59" s="115"/>
      <c r="AW59" s="112">
        <v>2</v>
      </c>
      <c r="AX59" s="112">
        <v>0</v>
      </c>
      <c r="AY59" s="115"/>
      <c r="AZ59" s="112">
        <v>0.37</v>
      </c>
      <c r="BA59" s="112">
        <v>2.6</v>
      </c>
      <c r="BB59" s="115"/>
      <c r="BC59" s="112">
        <v>2</v>
      </c>
      <c r="BD59" s="112">
        <v>0.6</v>
      </c>
      <c r="BE59" s="115"/>
      <c r="BF59" s="112">
        <v>0</v>
      </c>
      <c r="BG59" s="112">
        <v>2.6</v>
      </c>
      <c r="BH59" s="115"/>
      <c r="BI59" s="112">
        <v>0</v>
      </c>
      <c r="BJ59" s="112">
        <v>0</v>
      </c>
      <c r="BK59" s="115"/>
      <c r="BL59" s="112">
        <v>0</v>
      </c>
      <c r="BM59" s="112">
        <v>0</v>
      </c>
      <c r="BN59" s="115"/>
      <c r="BO59" s="112">
        <v>0</v>
      </c>
      <c r="BP59" s="112">
        <v>0</v>
      </c>
      <c r="BQ59" s="115"/>
      <c r="BR59" s="112">
        <v>0</v>
      </c>
      <c r="BS59" s="112">
        <v>0</v>
      </c>
      <c r="BT59" s="115"/>
      <c r="BU59" s="112">
        <v>2</v>
      </c>
      <c r="BV59" s="112">
        <v>0</v>
      </c>
      <c r="BW59" s="115"/>
      <c r="BX59" s="112">
        <v>2</v>
      </c>
      <c r="BY59" s="112"/>
      <c r="BZ59" s="115"/>
      <c r="CA59" s="116">
        <v>0</v>
      </c>
      <c r="CB59" s="112"/>
      <c r="CC59" s="115"/>
      <c r="CD59" s="116">
        <v>0</v>
      </c>
      <c r="CE59" s="112"/>
      <c r="CF59" s="115"/>
      <c r="CG59" s="116">
        <v>0</v>
      </c>
      <c r="CH59" s="112"/>
      <c r="CI59" s="115"/>
      <c r="CJ59" s="116">
        <v>0</v>
      </c>
      <c r="CK59" s="112"/>
      <c r="CL59" s="115"/>
      <c r="CM59" s="116">
        <v>0</v>
      </c>
      <c r="CN59" s="112"/>
      <c r="CO59" s="115"/>
      <c r="CP59" s="92"/>
      <c r="CQ59" s="112"/>
    </row>
    <row r="60" spans="1:95" ht="12" x14ac:dyDescent="0.25">
      <c r="A60" s="111" t="s">
        <v>113</v>
      </c>
      <c r="B60" s="159"/>
      <c r="C60" s="112"/>
      <c r="D60" s="112">
        <v>0</v>
      </c>
      <c r="E60" s="112">
        <v>2</v>
      </c>
      <c r="F60" s="112"/>
      <c r="G60" s="112">
        <v>0</v>
      </c>
      <c r="H60" s="112"/>
      <c r="I60" s="112"/>
      <c r="J60" s="112">
        <v>2</v>
      </c>
      <c r="K60" s="112">
        <v>0</v>
      </c>
      <c r="L60" s="114"/>
      <c r="M60" s="112">
        <v>2</v>
      </c>
      <c r="N60" s="112">
        <v>0</v>
      </c>
      <c r="O60" s="114"/>
      <c r="P60" s="112">
        <v>2</v>
      </c>
      <c r="Q60" s="112">
        <v>0</v>
      </c>
      <c r="R60" s="114"/>
      <c r="S60" s="112">
        <v>2</v>
      </c>
      <c r="T60" s="112">
        <v>0</v>
      </c>
      <c r="U60" s="114"/>
      <c r="V60" s="112">
        <v>2</v>
      </c>
      <c r="W60" s="112">
        <v>0.6</v>
      </c>
      <c r="X60" s="115"/>
      <c r="Y60" s="112">
        <v>2</v>
      </c>
      <c r="Z60" s="112">
        <v>0</v>
      </c>
      <c r="AA60" s="115"/>
      <c r="AB60" s="112">
        <v>2</v>
      </c>
      <c r="AC60" s="112">
        <v>0.6</v>
      </c>
      <c r="AD60" s="115"/>
      <c r="AE60" s="112">
        <v>2</v>
      </c>
      <c r="AF60" s="112"/>
      <c r="AG60" s="115"/>
      <c r="AH60" s="112">
        <v>2</v>
      </c>
      <c r="AI60" s="112">
        <v>0.6</v>
      </c>
      <c r="AJ60" s="115"/>
      <c r="AK60" s="112">
        <v>2</v>
      </c>
      <c r="AL60" s="112">
        <v>0.6</v>
      </c>
      <c r="AM60" s="115"/>
      <c r="AN60" s="112">
        <v>2</v>
      </c>
      <c r="AO60" s="112">
        <v>0.6</v>
      </c>
      <c r="AP60" s="115"/>
      <c r="AQ60" s="112">
        <v>2</v>
      </c>
      <c r="AR60" s="112">
        <v>0.6</v>
      </c>
      <c r="AS60" s="115"/>
      <c r="AT60" s="112">
        <v>2</v>
      </c>
      <c r="AU60" s="112">
        <v>0.6</v>
      </c>
      <c r="AV60" s="115"/>
      <c r="AW60" s="112">
        <v>2</v>
      </c>
      <c r="AX60" s="112">
        <v>0.6</v>
      </c>
      <c r="AY60" s="115"/>
      <c r="AZ60" s="112">
        <v>2</v>
      </c>
      <c r="BA60" s="112">
        <v>0.6</v>
      </c>
      <c r="BB60" s="115"/>
      <c r="BC60" s="112">
        <v>2</v>
      </c>
      <c r="BD60" s="112">
        <v>0.6</v>
      </c>
      <c r="BE60" s="115"/>
      <c r="BF60" s="112">
        <v>0</v>
      </c>
      <c r="BG60" s="112">
        <v>2.6</v>
      </c>
      <c r="BH60" s="115"/>
      <c r="BI60" s="112">
        <v>0</v>
      </c>
      <c r="BJ60" s="112">
        <v>0</v>
      </c>
      <c r="BK60" s="115"/>
      <c r="BL60" s="112">
        <v>0</v>
      </c>
      <c r="BM60" s="112">
        <v>2.6</v>
      </c>
      <c r="BN60" s="115"/>
      <c r="BO60" s="112">
        <v>0</v>
      </c>
      <c r="BP60" s="112">
        <v>2.6</v>
      </c>
      <c r="BQ60" s="115"/>
      <c r="BR60" s="112">
        <v>0</v>
      </c>
      <c r="BS60" s="112">
        <v>0</v>
      </c>
      <c r="BT60" s="115"/>
      <c r="BU60" s="112">
        <v>2</v>
      </c>
      <c r="BV60" s="112">
        <v>0</v>
      </c>
      <c r="BW60" s="115"/>
      <c r="BX60" s="112">
        <v>2</v>
      </c>
      <c r="BY60" s="112"/>
      <c r="BZ60" s="115"/>
      <c r="CA60" s="116">
        <v>0</v>
      </c>
      <c r="CB60" s="112"/>
      <c r="CC60" s="115"/>
      <c r="CD60" s="116">
        <v>0</v>
      </c>
      <c r="CE60" s="112"/>
      <c r="CF60" s="115"/>
      <c r="CG60" s="116">
        <v>0</v>
      </c>
      <c r="CH60" s="112"/>
      <c r="CI60" s="115"/>
      <c r="CJ60" s="116">
        <v>0</v>
      </c>
      <c r="CK60" s="112"/>
      <c r="CL60" s="115"/>
      <c r="CM60" s="116">
        <v>0</v>
      </c>
      <c r="CN60" s="112"/>
      <c r="CO60" s="115"/>
      <c r="CP60" s="92"/>
      <c r="CQ60" s="112"/>
    </row>
    <row r="61" spans="1:95" ht="12" x14ac:dyDescent="0.25">
      <c r="A61" s="111" t="s">
        <v>114</v>
      </c>
      <c r="B61" s="159"/>
      <c r="C61" s="112"/>
      <c r="D61" s="112">
        <v>0</v>
      </c>
      <c r="E61" s="112">
        <v>0</v>
      </c>
      <c r="F61" s="112"/>
      <c r="G61" s="112">
        <v>0</v>
      </c>
      <c r="H61" s="112"/>
      <c r="I61" s="112"/>
      <c r="J61" s="112">
        <v>2</v>
      </c>
      <c r="K61" s="112">
        <v>0</v>
      </c>
      <c r="L61" s="114"/>
      <c r="M61" s="112">
        <v>2</v>
      </c>
      <c r="N61" s="112">
        <v>0</v>
      </c>
      <c r="O61" s="114"/>
      <c r="P61" s="112">
        <v>2</v>
      </c>
      <c r="Q61" s="112">
        <v>0</v>
      </c>
      <c r="R61" s="114"/>
      <c r="S61" s="112">
        <v>2</v>
      </c>
      <c r="T61" s="112">
        <v>0</v>
      </c>
      <c r="U61" s="114"/>
      <c r="V61" s="112">
        <v>2</v>
      </c>
      <c r="W61" s="112">
        <v>0.6</v>
      </c>
      <c r="X61" s="115"/>
      <c r="Y61" s="112">
        <v>2</v>
      </c>
      <c r="Z61" s="112">
        <v>0</v>
      </c>
      <c r="AA61" s="115"/>
      <c r="AB61" s="112">
        <v>2</v>
      </c>
      <c r="AC61" s="112">
        <v>0.6</v>
      </c>
      <c r="AD61" s="115"/>
      <c r="AE61" s="112">
        <v>2</v>
      </c>
      <c r="AF61" s="112"/>
      <c r="AG61" s="115"/>
      <c r="AH61" s="112">
        <v>2</v>
      </c>
      <c r="AI61" s="112">
        <v>0.6</v>
      </c>
      <c r="AJ61" s="115"/>
      <c r="AK61" s="112">
        <v>2</v>
      </c>
      <c r="AL61" s="112">
        <v>0</v>
      </c>
      <c r="AM61" s="115"/>
      <c r="AN61" s="112">
        <v>2</v>
      </c>
      <c r="AO61" s="112">
        <v>0.6</v>
      </c>
      <c r="AP61" s="115"/>
      <c r="AQ61" s="112">
        <v>0</v>
      </c>
      <c r="AR61" s="112">
        <v>0</v>
      </c>
      <c r="AS61" s="115"/>
      <c r="AT61" s="112">
        <v>2</v>
      </c>
      <c r="AU61" s="112">
        <v>0.6</v>
      </c>
      <c r="AV61" s="115"/>
      <c r="AW61" s="112">
        <v>0</v>
      </c>
      <c r="AX61" s="112">
        <v>0</v>
      </c>
      <c r="AY61" s="115"/>
      <c r="AZ61" s="112">
        <v>0</v>
      </c>
      <c r="BA61" s="112">
        <v>2.6</v>
      </c>
      <c r="BB61" s="115"/>
      <c r="BC61" s="112">
        <v>2</v>
      </c>
      <c r="BD61" s="112">
        <v>0.6</v>
      </c>
      <c r="BE61" s="115"/>
      <c r="BF61" s="112">
        <v>0</v>
      </c>
      <c r="BG61" s="112">
        <v>2.6</v>
      </c>
      <c r="BH61" s="115"/>
      <c r="BI61" s="112">
        <v>0</v>
      </c>
      <c r="BJ61" s="112">
        <v>0</v>
      </c>
      <c r="BK61" s="115"/>
      <c r="BL61" s="112">
        <v>0</v>
      </c>
      <c r="BM61" s="112">
        <v>2.6</v>
      </c>
      <c r="BN61" s="115"/>
      <c r="BO61" s="112">
        <v>0</v>
      </c>
      <c r="BP61" s="112">
        <v>2.6</v>
      </c>
      <c r="BQ61" s="115"/>
      <c r="BR61" s="112">
        <v>0</v>
      </c>
      <c r="BS61" s="112">
        <v>0</v>
      </c>
      <c r="BT61" s="115"/>
      <c r="BU61" s="112">
        <v>2</v>
      </c>
      <c r="BV61" s="112">
        <v>0</v>
      </c>
      <c r="BW61" s="115"/>
      <c r="BX61" s="112">
        <v>2</v>
      </c>
      <c r="BY61" s="112"/>
      <c r="BZ61" s="115"/>
      <c r="CA61" s="116">
        <v>0</v>
      </c>
      <c r="CB61" s="112"/>
      <c r="CC61" s="115"/>
      <c r="CD61" s="116">
        <v>0</v>
      </c>
      <c r="CE61" s="112"/>
      <c r="CF61" s="115"/>
      <c r="CG61" s="116">
        <v>0</v>
      </c>
      <c r="CH61" s="112"/>
      <c r="CI61" s="115"/>
      <c r="CJ61" s="116">
        <v>0</v>
      </c>
      <c r="CK61" s="112"/>
      <c r="CL61" s="115"/>
      <c r="CM61" s="116">
        <v>0</v>
      </c>
      <c r="CN61" s="112"/>
      <c r="CO61" s="115"/>
      <c r="CP61" s="92"/>
      <c r="CQ61" s="112"/>
    </row>
    <row r="62" spans="1:95" ht="12" x14ac:dyDescent="0.25">
      <c r="A62" s="111" t="s">
        <v>115</v>
      </c>
      <c r="B62" s="159"/>
      <c r="C62" s="112"/>
      <c r="D62" s="112">
        <v>0</v>
      </c>
      <c r="E62" s="112">
        <v>0</v>
      </c>
      <c r="F62" s="112"/>
      <c r="G62" s="112">
        <v>0</v>
      </c>
      <c r="H62" s="112"/>
      <c r="I62" s="112"/>
      <c r="J62" s="112">
        <v>2</v>
      </c>
      <c r="K62" s="112">
        <v>0</v>
      </c>
      <c r="L62" s="114"/>
      <c r="M62" s="112">
        <v>2</v>
      </c>
      <c r="N62" s="112">
        <v>0</v>
      </c>
      <c r="O62" s="114"/>
      <c r="P62" s="112">
        <v>2</v>
      </c>
      <c r="Q62" s="112">
        <v>0</v>
      </c>
      <c r="R62" s="114"/>
      <c r="S62" s="112">
        <v>2</v>
      </c>
      <c r="T62" s="112">
        <v>0</v>
      </c>
      <c r="U62" s="114"/>
      <c r="V62" s="112">
        <v>2</v>
      </c>
      <c r="W62" s="112">
        <v>0.6</v>
      </c>
      <c r="X62" s="115"/>
      <c r="Y62" s="112">
        <v>2</v>
      </c>
      <c r="Z62" s="112">
        <v>0</v>
      </c>
      <c r="AA62" s="115"/>
      <c r="AB62" s="112">
        <v>2</v>
      </c>
      <c r="AC62" s="112">
        <v>0.6</v>
      </c>
      <c r="AD62" s="115"/>
      <c r="AE62" s="112">
        <v>2</v>
      </c>
      <c r="AF62" s="112"/>
      <c r="AG62" s="115"/>
      <c r="AH62" s="112">
        <v>2</v>
      </c>
      <c r="AI62" s="112">
        <v>0.6</v>
      </c>
      <c r="AJ62" s="115"/>
      <c r="AK62" s="112">
        <v>2</v>
      </c>
      <c r="AL62" s="112">
        <v>0</v>
      </c>
      <c r="AM62" s="115"/>
      <c r="AN62" s="112">
        <v>2</v>
      </c>
      <c r="AO62" s="112">
        <v>0.6</v>
      </c>
      <c r="AP62" s="115"/>
      <c r="AQ62" s="112">
        <v>2</v>
      </c>
      <c r="AR62" s="112">
        <v>0</v>
      </c>
      <c r="AS62" s="115"/>
      <c r="AT62" s="112">
        <v>2</v>
      </c>
      <c r="AU62" s="112">
        <v>0.6</v>
      </c>
      <c r="AV62" s="115"/>
      <c r="AW62" s="112">
        <v>0</v>
      </c>
      <c r="AX62" s="112">
        <v>0</v>
      </c>
      <c r="AY62" s="115"/>
      <c r="AZ62" s="112">
        <v>0</v>
      </c>
      <c r="BA62" s="112">
        <v>2.6</v>
      </c>
      <c r="BB62" s="115"/>
      <c r="BC62" s="112">
        <v>0</v>
      </c>
      <c r="BD62" s="112">
        <v>2.6</v>
      </c>
      <c r="BE62" s="115"/>
      <c r="BF62" s="112">
        <v>0</v>
      </c>
      <c r="BG62" s="112">
        <v>2.6</v>
      </c>
      <c r="BH62" s="115"/>
      <c r="BI62" s="112">
        <v>0</v>
      </c>
      <c r="BJ62" s="112">
        <v>0</v>
      </c>
      <c r="BK62" s="115"/>
      <c r="BL62" s="112">
        <v>0</v>
      </c>
      <c r="BM62" s="112">
        <v>2.6</v>
      </c>
      <c r="BN62" s="115"/>
      <c r="BO62" s="112">
        <v>0</v>
      </c>
      <c r="BP62" s="112">
        <v>2.6</v>
      </c>
      <c r="BQ62" s="115"/>
      <c r="BR62" s="112">
        <v>0</v>
      </c>
      <c r="BS62" s="112">
        <v>0</v>
      </c>
      <c r="BT62" s="115"/>
      <c r="BU62" s="112">
        <v>2</v>
      </c>
      <c r="BV62" s="112">
        <v>0</v>
      </c>
      <c r="BW62" s="115"/>
      <c r="BX62" s="112">
        <v>2</v>
      </c>
      <c r="BY62" s="112"/>
      <c r="BZ62" s="115"/>
      <c r="CA62" s="116">
        <v>0</v>
      </c>
      <c r="CB62" s="112"/>
      <c r="CC62" s="115"/>
      <c r="CD62" s="116">
        <v>0</v>
      </c>
      <c r="CE62" s="112"/>
      <c r="CF62" s="115"/>
      <c r="CG62" s="116">
        <v>0</v>
      </c>
      <c r="CH62" s="112"/>
      <c r="CI62" s="115"/>
      <c r="CJ62" s="116">
        <v>0</v>
      </c>
      <c r="CK62" s="112"/>
      <c r="CL62" s="115"/>
      <c r="CM62" s="116">
        <v>0</v>
      </c>
      <c r="CN62" s="112"/>
      <c r="CO62" s="115"/>
      <c r="CP62" s="92"/>
      <c r="CQ62" s="112"/>
    </row>
    <row r="63" spans="1:95" ht="12" x14ac:dyDescent="0.25">
      <c r="A63" s="111" t="s">
        <v>116</v>
      </c>
      <c r="B63" s="159"/>
      <c r="C63" s="112"/>
      <c r="D63" s="112">
        <v>0</v>
      </c>
      <c r="E63" s="112">
        <v>0</v>
      </c>
      <c r="F63" s="112"/>
      <c r="G63" s="112">
        <v>0</v>
      </c>
      <c r="H63" s="112"/>
      <c r="I63" s="112"/>
      <c r="J63" s="112">
        <v>0</v>
      </c>
      <c r="K63" s="112">
        <v>0</v>
      </c>
      <c r="L63" s="114"/>
      <c r="M63" s="112">
        <v>2</v>
      </c>
      <c r="N63" s="112">
        <v>0</v>
      </c>
      <c r="O63" s="114"/>
      <c r="P63" s="112">
        <v>0</v>
      </c>
      <c r="Q63" s="112">
        <v>0</v>
      </c>
      <c r="R63" s="114"/>
      <c r="S63" s="112">
        <v>2</v>
      </c>
      <c r="T63" s="112">
        <v>0</v>
      </c>
      <c r="U63" s="114"/>
      <c r="V63" s="112">
        <v>2</v>
      </c>
      <c r="W63" s="112">
        <v>0.6</v>
      </c>
      <c r="X63" s="115"/>
      <c r="Y63" s="112">
        <v>0</v>
      </c>
      <c r="Z63" s="112">
        <v>0</v>
      </c>
      <c r="AA63" s="115"/>
      <c r="AB63" s="112">
        <v>2</v>
      </c>
      <c r="AC63" s="112">
        <v>0.6</v>
      </c>
      <c r="AD63" s="115"/>
      <c r="AE63" s="112">
        <v>2</v>
      </c>
      <c r="AF63" s="112"/>
      <c r="AG63" s="115"/>
      <c r="AH63" s="112">
        <v>2</v>
      </c>
      <c r="AI63" s="112">
        <v>0</v>
      </c>
      <c r="AJ63" s="115"/>
      <c r="AK63" s="112">
        <v>2</v>
      </c>
      <c r="AL63" s="112">
        <v>0</v>
      </c>
      <c r="AM63" s="115"/>
      <c r="AN63" s="112">
        <v>2</v>
      </c>
      <c r="AO63" s="112">
        <v>0</v>
      </c>
      <c r="AP63" s="115"/>
      <c r="AQ63" s="112">
        <v>0</v>
      </c>
      <c r="AR63" s="112">
        <v>0</v>
      </c>
      <c r="AS63" s="115"/>
      <c r="AT63" s="112">
        <v>2</v>
      </c>
      <c r="AU63" s="112">
        <v>0.6</v>
      </c>
      <c r="AV63" s="115"/>
      <c r="AW63" s="112">
        <v>0</v>
      </c>
      <c r="AX63" s="112">
        <v>0</v>
      </c>
      <c r="AY63" s="115"/>
      <c r="AZ63" s="112">
        <v>0</v>
      </c>
      <c r="BA63" s="112">
        <v>0</v>
      </c>
      <c r="BB63" s="115"/>
      <c r="BC63" s="112">
        <v>0</v>
      </c>
      <c r="BD63" s="112">
        <v>2.6</v>
      </c>
      <c r="BE63" s="115"/>
      <c r="BF63" s="112">
        <v>0</v>
      </c>
      <c r="BG63" s="112">
        <v>0</v>
      </c>
      <c r="BH63" s="115"/>
      <c r="BI63" s="112">
        <v>0</v>
      </c>
      <c r="BJ63" s="112">
        <v>0</v>
      </c>
      <c r="BK63" s="115"/>
      <c r="BL63" s="112">
        <v>0</v>
      </c>
      <c r="BM63" s="112">
        <v>2.6</v>
      </c>
      <c r="BN63" s="115"/>
      <c r="BO63" s="112">
        <v>0</v>
      </c>
      <c r="BP63" s="112">
        <v>2.6</v>
      </c>
      <c r="BQ63" s="115"/>
      <c r="BR63" s="112">
        <v>0</v>
      </c>
      <c r="BS63" s="112">
        <v>0</v>
      </c>
      <c r="BT63" s="115"/>
      <c r="BU63" s="112">
        <v>2</v>
      </c>
      <c r="BV63" s="112">
        <v>0</v>
      </c>
      <c r="BW63" s="115"/>
      <c r="BX63" s="112">
        <v>2</v>
      </c>
      <c r="BY63" s="112"/>
      <c r="BZ63" s="115"/>
      <c r="CA63" s="116">
        <v>0</v>
      </c>
      <c r="CB63" s="112"/>
      <c r="CC63" s="115"/>
      <c r="CD63" s="116">
        <v>0</v>
      </c>
      <c r="CE63" s="112"/>
      <c r="CF63" s="115"/>
      <c r="CG63" s="116">
        <v>0</v>
      </c>
      <c r="CH63" s="112"/>
      <c r="CI63" s="115"/>
      <c r="CJ63" s="116">
        <v>0</v>
      </c>
      <c r="CK63" s="112"/>
      <c r="CL63" s="115"/>
      <c r="CM63" s="116">
        <v>0</v>
      </c>
      <c r="CN63" s="112"/>
      <c r="CO63" s="115"/>
      <c r="CP63" s="92"/>
      <c r="CQ63" s="112"/>
    </row>
    <row r="64" spans="1:95" ht="12" x14ac:dyDescent="0.25">
      <c r="A64" s="111" t="s">
        <v>117</v>
      </c>
      <c r="B64" s="159"/>
      <c r="C64" s="112"/>
      <c r="D64" s="112">
        <v>0</v>
      </c>
      <c r="E64" s="112">
        <v>0</v>
      </c>
      <c r="F64" s="112"/>
      <c r="G64" s="112">
        <v>0</v>
      </c>
      <c r="H64" s="112"/>
      <c r="I64" s="112"/>
      <c r="J64" s="112">
        <v>0</v>
      </c>
      <c r="K64" s="112">
        <v>0</v>
      </c>
      <c r="L64" s="114"/>
      <c r="M64" s="112">
        <v>2</v>
      </c>
      <c r="N64" s="112">
        <v>0</v>
      </c>
      <c r="O64" s="114"/>
      <c r="P64" s="112">
        <v>0</v>
      </c>
      <c r="Q64" s="112">
        <v>0</v>
      </c>
      <c r="R64" s="114"/>
      <c r="S64" s="112">
        <v>2</v>
      </c>
      <c r="T64" s="112">
        <v>0</v>
      </c>
      <c r="U64" s="114"/>
      <c r="V64" s="112">
        <v>0</v>
      </c>
      <c r="W64" s="112">
        <v>0</v>
      </c>
      <c r="X64" s="115"/>
      <c r="Y64" s="112">
        <v>0</v>
      </c>
      <c r="Z64" s="112">
        <v>0</v>
      </c>
      <c r="AA64" s="115"/>
      <c r="AB64" s="112">
        <v>0</v>
      </c>
      <c r="AC64" s="112">
        <v>0</v>
      </c>
      <c r="AD64" s="115"/>
      <c r="AE64" s="112">
        <v>2</v>
      </c>
      <c r="AF64" s="112"/>
      <c r="AG64" s="115"/>
      <c r="AH64" s="112">
        <v>2</v>
      </c>
      <c r="AI64" s="112">
        <v>0</v>
      </c>
      <c r="AJ64" s="115"/>
      <c r="AK64" s="112">
        <v>2</v>
      </c>
      <c r="AL64" s="112">
        <v>0</v>
      </c>
      <c r="AM64" s="115"/>
      <c r="AN64" s="112">
        <v>2</v>
      </c>
      <c r="AO64" s="112">
        <v>0</v>
      </c>
      <c r="AP64" s="115"/>
      <c r="AQ64" s="112">
        <v>0</v>
      </c>
      <c r="AR64" s="112">
        <v>0</v>
      </c>
      <c r="AS64" s="115"/>
      <c r="AT64" s="112">
        <v>2</v>
      </c>
      <c r="AU64" s="112">
        <v>0.6</v>
      </c>
      <c r="AV64" s="115"/>
      <c r="AW64" s="112">
        <v>0</v>
      </c>
      <c r="AX64" s="112">
        <v>0</v>
      </c>
      <c r="AY64" s="115"/>
      <c r="AZ64" s="112">
        <v>0</v>
      </c>
      <c r="BA64" s="112">
        <v>0</v>
      </c>
      <c r="BB64" s="115"/>
      <c r="BC64" s="112">
        <v>0</v>
      </c>
      <c r="BD64" s="112">
        <v>2.6</v>
      </c>
      <c r="BE64" s="115"/>
      <c r="BF64" s="112">
        <v>0</v>
      </c>
      <c r="BG64" s="112">
        <v>0</v>
      </c>
      <c r="BH64" s="115"/>
      <c r="BI64" s="112">
        <v>0</v>
      </c>
      <c r="BJ64" s="112">
        <v>0</v>
      </c>
      <c r="BK64" s="115"/>
      <c r="BL64" s="112">
        <v>0</v>
      </c>
      <c r="BM64" s="112">
        <v>2.6</v>
      </c>
      <c r="BN64" s="115"/>
      <c r="BO64" s="112">
        <v>0</v>
      </c>
      <c r="BP64" s="112">
        <v>2.6</v>
      </c>
      <c r="BQ64" s="115"/>
      <c r="BR64" s="112">
        <v>0</v>
      </c>
      <c r="BS64" s="112">
        <v>0</v>
      </c>
      <c r="BT64" s="115"/>
      <c r="BU64" s="112">
        <v>2</v>
      </c>
      <c r="BV64" s="112">
        <v>0</v>
      </c>
      <c r="BW64" s="115"/>
      <c r="BX64" s="112">
        <v>2</v>
      </c>
      <c r="BY64" s="112"/>
      <c r="BZ64" s="115"/>
      <c r="CA64" s="116">
        <v>0</v>
      </c>
      <c r="CB64" s="112"/>
      <c r="CC64" s="115"/>
      <c r="CD64" s="116">
        <v>0</v>
      </c>
      <c r="CE64" s="112"/>
      <c r="CF64" s="115"/>
      <c r="CG64" s="116">
        <v>0</v>
      </c>
      <c r="CH64" s="112"/>
      <c r="CI64" s="115"/>
      <c r="CJ64" s="116">
        <v>0</v>
      </c>
      <c r="CK64" s="112"/>
      <c r="CL64" s="115"/>
      <c r="CM64" s="116">
        <v>0</v>
      </c>
      <c r="CN64" s="112"/>
      <c r="CO64" s="115"/>
      <c r="CP64" s="92"/>
      <c r="CQ64" s="112"/>
    </row>
    <row r="65" spans="1:95" ht="12" x14ac:dyDescent="0.25">
      <c r="A65" s="111" t="s">
        <v>118</v>
      </c>
      <c r="B65" s="159"/>
      <c r="C65" s="112"/>
      <c r="D65" s="112">
        <v>0</v>
      </c>
      <c r="E65" s="112">
        <v>0</v>
      </c>
      <c r="F65" s="112"/>
      <c r="G65" s="112">
        <v>0</v>
      </c>
      <c r="H65" s="112"/>
      <c r="I65" s="112"/>
      <c r="J65" s="112">
        <v>0</v>
      </c>
      <c r="K65" s="112">
        <v>0</v>
      </c>
      <c r="L65" s="114"/>
      <c r="M65" s="112">
        <v>2</v>
      </c>
      <c r="N65" s="112">
        <v>0</v>
      </c>
      <c r="O65" s="114"/>
      <c r="P65" s="112">
        <v>0</v>
      </c>
      <c r="Q65" s="112">
        <v>0</v>
      </c>
      <c r="R65" s="114"/>
      <c r="S65" s="112">
        <v>0</v>
      </c>
      <c r="T65" s="112">
        <v>0</v>
      </c>
      <c r="U65" s="114"/>
      <c r="V65" s="112">
        <v>0</v>
      </c>
      <c r="W65" s="112">
        <v>0</v>
      </c>
      <c r="X65" s="115"/>
      <c r="Y65" s="112">
        <v>0</v>
      </c>
      <c r="Z65" s="112">
        <v>2.6</v>
      </c>
      <c r="AA65" s="115"/>
      <c r="AB65" s="112">
        <v>0</v>
      </c>
      <c r="AC65" s="112">
        <v>2.6</v>
      </c>
      <c r="AD65" s="115"/>
      <c r="AE65" s="112">
        <v>2</v>
      </c>
      <c r="AF65" s="112"/>
      <c r="AG65" s="115"/>
      <c r="AH65" s="112">
        <v>2</v>
      </c>
      <c r="AI65" s="112">
        <v>0</v>
      </c>
      <c r="AJ65" s="115"/>
      <c r="AK65" s="112">
        <v>2</v>
      </c>
      <c r="AL65" s="112">
        <v>0</v>
      </c>
      <c r="AM65" s="115"/>
      <c r="AN65" s="112">
        <v>2</v>
      </c>
      <c r="AO65" s="112">
        <v>0</v>
      </c>
      <c r="AP65" s="115"/>
      <c r="AQ65" s="112">
        <v>0</v>
      </c>
      <c r="AR65" s="112">
        <v>0</v>
      </c>
      <c r="AS65" s="115"/>
      <c r="AT65" s="112">
        <v>2</v>
      </c>
      <c r="AU65" s="112">
        <v>0.6</v>
      </c>
      <c r="AV65" s="115"/>
      <c r="AW65" s="112">
        <v>0</v>
      </c>
      <c r="AX65" s="112">
        <v>0</v>
      </c>
      <c r="AY65" s="115"/>
      <c r="AZ65" s="112">
        <v>0</v>
      </c>
      <c r="BA65" s="112">
        <v>0</v>
      </c>
      <c r="BB65" s="115"/>
      <c r="BC65" s="112">
        <v>0</v>
      </c>
      <c r="BD65" s="112">
        <v>0</v>
      </c>
      <c r="BE65" s="115"/>
      <c r="BF65" s="112">
        <v>0</v>
      </c>
      <c r="BG65" s="112">
        <v>0</v>
      </c>
      <c r="BH65" s="115"/>
      <c r="BI65" s="112">
        <v>0</v>
      </c>
      <c r="BJ65" s="112">
        <v>0</v>
      </c>
      <c r="BK65" s="115"/>
      <c r="BL65" s="112">
        <v>0</v>
      </c>
      <c r="BM65" s="112">
        <v>2.6</v>
      </c>
      <c r="BN65" s="115"/>
      <c r="BO65" s="112">
        <v>0</v>
      </c>
      <c r="BP65" s="112">
        <v>2.6</v>
      </c>
      <c r="BQ65" s="115"/>
      <c r="BR65" s="112">
        <v>0</v>
      </c>
      <c r="BS65" s="112">
        <v>2.6</v>
      </c>
      <c r="BT65" s="115"/>
      <c r="BU65" s="112">
        <v>2</v>
      </c>
      <c r="BV65" s="112">
        <v>0</v>
      </c>
      <c r="BW65" s="115"/>
      <c r="BX65" s="112">
        <v>2</v>
      </c>
      <c r="BY65" s="112"/>
      <c r="BZ65" s="115"/>
      <c r="CA65" s="116">
        <v>0</v>
      </c>
      <c r="CB65" s="112"/>
      <c r="CC65" s="115"/>
      <c r="CD65" s="116">
        <v>0</v>
      </c>
      <c r="CE65" s="112"/>
      <c r="CF65" s="115"/>
      <c r="CG65" s="116">
        <v>0</v>
      </c>
      <c r="CH65" s="112"/>
      <c r="CI65" s="115"/>
      <c r="CJ65" s="116">
        <v>0</v>
      </c>
      <c r="CK65" s="112"/>
      <c r="CL65" s="115"/>
      <c r="CM65" s="116">
        <v>0</v>
      </c>
      <c r="CN65" s="112"/>
      <c r="CO65" s="115"/>
      <c r="CP65" s="92"/>
      <c r="CQ65" s="112"/>
    </row>
    <row r="66" spans="1:95" ht="12" x14ac:dyDescent="0.25">
      <c r="A66" s="111" t="s">
        <v>119</v>
      </c>
      <c r="B66" s="159"/>
      <c r="C66" s="112"/>
      <c r="D66" s="112">
        <v>0</v>
      </c>
      <c r="E66" s="112">
        <v>0</v>
      </c>
      <c r="F66" s="112"/>
      <c r="G66" s="112">
        <v>0</v>
      </c>
      <c r="H66" s="112"/>
      <c r="I66" s="112"/>
      <c r="J66" s="112">
        <v>0</v>
      </c>
      <c r="K66" s="112">
        <v>0</v>
      </c>
      <c r="L66" s="114"/>
      <c r="M66" s="112">
        <v>2</v>
      </c>
      <c r="N66" s="112">
        <v>0</v>
      </c>
      <c r="O66" s="114"/>
      <c r="P66" s="112">
        <v>0</v>
      </c>
      <c r="Q66" s="112">
        <v>0</v>
      </c>
      <c r="R66" s="114"/>
      <c r="S66" s="112">
        <v>0</v>
      </c>
      <c r="T66" s="112">
        <v>0</v>
      </c>
      <c r="U66" s="114"/>
      <c r="V66" s="112">
        <v>0</v>
      </c>
      <c r="W66" s="112">
        <v>0</v>
      </c>
      <c r="X66" s="115"/>
      <c r="Y66" s="112">
        <v>0</v>
      </c>
      <c r="Z66" s="112">
        <v>2.6</v>
      </c>
      <c r="AA66" s="115"/>
      <c r="AB66" s="112">
        <v>0</v>
      </c>
      <c r="AC66" s="112">
        <v>2.6</v>
      </c>
      <c r="AD66" s="115"/>
      <c r="AE66" s="112">
        <v>2</v>
      </c>
      <c r="AF66" s="112"/>
      <c r="AG66" s="115"/>
      <c r="AH66" s="112">
        <v>2</v>
      </c>
      <c r="AI66" s="112">
        <v>0</v>
      </c>
      <c r="AJ66" s="115"/>
      <c r="AK66" s="112">
        <v>0</v>
      </c>
      <c r="AL66" s="112">
        <v>0</v>
      </c>
      <c r="AM66" s="115"/>
      <c r="AN66" s="112">
        <v>2</v>
      </c>
      <c r="AO66" s="112">
        <v>0</v>
      </c>
      <c r="AP66" s="115"/>
      <c r="AQ66" s="112">
        <v>0</v>
      </c>
      <c r="AR66" s="112">
        <v>0</v>
      </c>
      <c r="AS66" s="115"/>
      <c r="AT66" s="112">
        <v>0</v>
      </c>
      <c r="AU66" s="112">
        <v>2.6</v>
      </c>
      <c r="AV66" s="115"/>
      <c r="AW66" s="112">
        <v>0</v>
      </c>
      <c r="AX66" s="112">
        <v>0</v>
      </c>
      <c r="AY66" s="115"/>
      <c r="AZ66" s="112">
        <v>0</v>
      </c>
      <c r="BA66" s="112">
        <v>0</v>
      </c>
      <c r="BB66" s="115"/>
      <c r="BC66" s="112">
        <v>0</v>
      </c>
      <c r="BD66" s="112">
        <v>0</v>
      </c>
      <c r="BE66" s="115"/>
      <c r="BF66" s="112">
        <v>0</v>
      </c>
      <c r="BG66" s="112">
        <v>0</v>
      </c>
      <c r="BH66" s="115"/>
      <c r="BI66" s="112">
        <v>0</v>
      </c>
      <c r="BJ66" s="112">
        <v>0</v>
      </c>
      <c r="BK66" s="115"/>
      <c r="BL66" s="112">
        <v>0</v>
      </c>
      <c r="BM66" s="112">
        <v>2.6</v>
      </c>
      <c r="BN66" s="115"/>
      <c r="BO66" s="112">
        <v>0</v>
      </c>
      <c r="BP66" s="112">
        <v>2.6</v>
      </c>
      <c r="BQ66" s="115"/>
      <c r="BR66" s="112">
        <v>0</v>
      </c>
      <c r="BS66" s="112">
        <v>0</v>
      </c>
      <c r="BT66" s="115"/>
      <c r="BU66" s="112">
        <v>2</v>
      </c>
      <c r="BV66" s="112">
        <v>0</v>
      </c>
      <c r="BW66" s="115"/>
      <c r="BX66" s="112">
        <v>2</v>
      </c>
      <c r="BY66" s="112"/>
      <c r="BZ66" s="115"/>
      <c r="CA66" s="116">
        <v>0</v>
      </c>
      <c r="CB66" s="112"/>
      <c r="CC66" s="115"/>
      <c r="CD66" s="116">
        <v>0</v>
      </c>
      <c r="CE66" s="112"/>
      <c r="CF66" s="115"/>
      <c r="CG66" s="116">
        <v>0</v>
      </c>
      <c r="CH66" s="112"/>
      <c r="CI66" s="115"/>
      <c r="CJ66" s="116">
        <v>0</v>
      </c>
      <c r="CK66" s="112"/>
      <c r="CL66" s="115"/>
      <c r="CM66" s="116">
        <v>0</v>
      </c>
      <c r="CN66" s="112"/>
      <c r="CO66" s="115"/>
      <c r="CP66" s="92"/>
      <c r="CQ66" s="112"/>
    </row>
    <row r="67" spans="1:95" ht="12" x14ac:dyDescent="0.25">
      <c r="A67" s="111" t="s">
        <v>120</v>
      </c>
      <c r="B67" s="159"/>
      <c r="C67" s="112"/>
      <c r="D67" s="112">
        <v>0</v>
      </c>
      <c r="E67" s="112">
        <v>0</v>
      </c>
      <c r="F67" s="112"/>
      <c r="G67" s="112">
        <v>0</v>
      </c>
      <c r="H67" s="112"/>
      <c r="I67" s="112"/>
      <c r="J67" s="112">
        <v>0</v>
      </c>
      <c r="K67" s="112">
        <v>0</v>
      </c>
      <c r="L67" s="114"/>
      <c r="M67" s="112">
        <v>2</v>
      </c>
      <c r="N67" s="112">
        <v>0</v>
      </c>
      <c r="O67" s="114"/>
      <c r="P67" s="112">
        <v>0</v>
      </c>
      <c r="Q67" s="112">
        <v>0</v>
      </c>
      <c r="R67" s="114"/>
      <c r="S67" s="112">
        <v>0</v>
      </c>
      <c r="T67" s="112">
        <v>0</v>
      </c>
      <c r="U67" s="114"/>
      <c r="V67" s="112">
        <v>0</v>
      </c>
      <c r="W67" s="112">
        <v>0</v>
      </c>
      <c r="X67" s="115"/>
      <c r="Y67" s="112">
        <v>0</v>
      </c>
      <c r="Z67" s="112">
        <v>0</v>
      </c>
      <c r="AA67" s="115"/>
      <c r="AB67" s="112">
        <v>0</v>
      </c>
      <c r="AC67" s="112">
        <v>0</v>
      </c>
      <c r="AD67" s="115"/>
      <c r="AE67" s="112">
        <v>0</v>
      </c>
      <c r="AF67" s="112"/>
      <c r="AG67" s="115"/>
      <c r="AH67" s="112">
        <v>2</v>
      </c>
      <c r="AI67" s="112">
        <v>0.6</v>
      </c>
      <c r="AJ67" s="115"/>
      <c r="AK67" s="112">
        <v>0</v>
      </c>
      <c r="AL67" s="112">
        <v>0</v>
      </c>
      <c r="AM67" s="115"/>
      <c r="AN67" s="112">
        <v>2</v>
      </c>
      <c r="AO67" s="112">
        <v>0</v>
      </c>
      <c r="AP67" s="115"/>
      <c r="AQ67" s="112">
        <v>0</v>
      </c>
      <c r="AR67" s="112">
        <v>0</v>
      </c>
      <c r="AS67" s="115"/>
      <c r="AT67" s="112">
        <v>0</v>
      </c>
      <c r="AU67" s="112">
        <v>0</v>
      </c>
      <c r="AV67" s="115"/>
      <c r="AW67" s="112">
        <v>0</v>
      </c>
      <c r="AX67" s="112">
        <v>0</v>
      </c>
      <c r="AY67" s="115"/>
      <c r="AZ67" s="112">
        <v>0</v>
      </c>
      <c r="BA67" s="112">
        <v>0</v>
      </c>
      <c r="BB67" s="115"/>
      <c r="BC67" s="112">
        <v>0</v>
      </c>
      <c r="BD67" s="112">
        <v>0</v>
      </c>
      <c r="BE67" s="115"/>
      <c r="BF67" s="112">
        <v>0</v>
      </c>
      <c r="BG67" s="112">
        <v>0</v>
      </c>
      <c r="BH67" s="115"/>
      <c r="BI67" s="112">
        <v>0</v>
      </c>
      <c r="BJ67" s="112">
        <v>0</v>
      </c>
      <c r="BK67" s="115"/>
      <c r="BL67" s="112">
        <v>0</v>
      </c>
      <c r="BM67" s="112">
        <v>0</v>
      </c>
      <c r="BN67" s="115"/>
      <c r="BO67" s="112">
        <v>0</v>
      </c>
      <c r="BP67" s="112">
        <v>0</v>
      </c>
      <c r="BQ67" s="115"/>
      <c r="BR67" s="112">
        <v>0</v>
      </c>
      <c r="BS67" s="112">
        <v>0</v>
      </c>
      <c r="BT67" s="115"/>
      <c r="BU67" s="112">
        <v>2</v>
      </c>
      <c r="BV67" s="112">
        <v>0</v>
      </c>
      <c r="BW67" s="115"/>
      <c r="BX67" s="112">
        <v>2</v>
      </c>
      <c r="BY67" s="112"/>
      <c r="BZ67" s="115"/>
      <c r="CA67" s="116">
        <v>0</v>
      </c>
      <c r="CB67" s="112"/>
      <c r="CC67" s="115"/>
      <c r="CD67" s="116">
        <v>0</v>
      </c>
      <c r="CE67" s="112"/>
      <c r="CF67" s="115"/>
      <c r="CG67" s="116">
        <v>0</v>
      </c>
      <c r="CH67" s="112"/>
      <c r="CI67" s="115"/>
      <c r="CJ67" s="116">
        <v>0</v>
      </c>
      <c r="CK67" s="112"/>
      <c r="CL67" s="115"/>
      <c r="CM67" s="116">
        <v>0</v>
      </c>
      <c r="CN67" s="112"/>
      <c r="CO67" s="115"/>
      <c r="CP67" s="92"/>
      <c r="CQ67" s="112"/>
    </row>
    <row r="68" spans="1:95" ht="12" x14ac:dyDescent="0.25">
      <c r="A68" s="111" t="s">
        <v>121</v>
      </c>
      <c r="B68" s="159"/>
      <c r="C68" s="112"/>
      <c r="D68" s="112">
        <v>0</v>
      </c>
      <c r="E68" s="112">
        <v>0</v>
      </c>
      <c r="F68" s="112"/>
      <c r="G68" s="112">
        <v>0</v>
      </c>
      <c r="H68" s="112"/>
      <c r="I68" s="112"/>
      <c r="J68" s="112">
        <v>0</v>
      </c>
      <c r="K68" s="112">
        <v>0</v>
      </c>
      <c r="L68" s="114"/>
      <c r="M68" s="112">
        <v>2</v>
      </c>
      <c r="N68" s="112">
        <v>0</v>
      </c>
      <c r="O68" s="114"/>
      <c r="P68" s="112">
        <v>0</v>
      </c>
      <c r="Q68" s="112">
        <v>0</v>
      </c>
      <c r="R68" s="114"/>
      <c r="S68" s="112">
        <v>0</v>
      </c>
      <c r="T68" s="112">
        <v>0</v>
      </c>
      <c r="U68" s="114"/>
      <c r="V68" s="112">
        <v>0</v>
      </c>
      <c r="W68" s="112">
        <v>0</v>
      </c>
      <c r="X68" s="115"/>
      <c r="Y68" s="112">
        <v>0</v>
      </c>
      <c r="Z68" s="112">
        <v>0</v>
      </c>
      <c r="AA68" s="115"/>
      <c r="AB68" s="112">
        <v>0</v>
      </c>
      <c r="AC68" s="112">
        <v>0</v>
      </c>
      <c r="AD68" s="115"/>
      <c r="AE68" s="112">
        <v>0</v>
      </c>
      <c r="AF68" s="112"/>
      <c r="AG68" s="115"/>
      <c r="AH68" s="112">
        <v>2</v>
      </c>
      <c r="AI68" s="112">
        <v>0.6</v>
      </c>
      <c r="AJ68" s="115"/>
      <c r="AK68" s="112">
        <v>0</v>
      </c>
      <c r="AL68" s="112">
        <v>0</v>
      </c>
      <c r="AM68" s="115"/>
      <c r="AN68" s="112">
        <v>2</v>
      </c>
      <c r="AO68" s="112">
        <v>0</v>
      </c>
      <c r="AP68" s="115"/>
      <c r="AQ68" s="112">
        <v>0</v>
      </c>
      <c r="AR68" s="112">
        <v>0</v>
      </c>
      <c r="AS68" s="115"/>
      <c r="AT68" s="112">
        <v>0</v>
      </c>
      <c r="AU68" s="112">
        <v>0</v>
      </c>
      <c r="AV68" s="115"/>
      <c r="AW68" s="112">
        <v>0</v>
      </c>
      <c r="AX68" s="112">
        <v>0</v>
      </c>
      <c r="AY68" s="115"/>
      <c r="AZ68" s="112">
        <v>0</v>
      </c>
      <c r="BA68" s="112">
        <v>0</v>
      </c>
      <c r="BB68" s="115"/>
      <c r="BC68" s="112">
        <v>0</v>
      </c>
      <c r="BD68" s="112">
        <v>0</v>
      </c>
      <c r="BE68" s="115"/>
      <c r="BF68" s="112">
        <v>0</v>
      </c>
      <c r="BG68" s="112">
        <v>0</v>
      </c>
      <c r="BH68" s="115"/>
      <c r="BI68" s="112">
        <v>0</v>
      </c>
      <c r="BJ68" s="112">
        <v>0</v>
      </c>
      <c r="BK68" s="115"/>
      <c r="BL68" s="112">
        <v>0</v>
      </c>
      <c r="BM68" s="112">
        <v>0</v>
      </c>
      <c r="BN68" s="115"/>
      <c r="BO68" s="112">
        <v>0</v>
      </c>
      <c r="BP68" s="112">
        <v>0</v>
      </c>
      <c r="BQ68" s="115"/>
      <c r="BR68" s="112">
        <v>0</v>
      </c>
      <c r="BS68" s="112">
        <v>0</v>
      </c>
      <c r="BT68" s="115"/>
      <c r="BU68" s="112">
        <v>2</v>
      </c>
      <c r="BV68" s="112">
        <v>0</v>
      </c>
      <c r="BW68" s="115"/>
      <c r="BX68" s="112">
        <v>0</v>
      </c>
      <c r="BY68" s="112"/>
      <c r="BZ68" s="115"/>
      <c r="CA68" s="116">
        <v>0</v>
      </c>
      <c r="CB68" s="112"/>
      <c r="CC68" s="115"/>
      <c r="CD68" s="116">
        <v>0</v>
      </c>
      <c r="CE68" s="112"/>
      <c r="CF68" s="115"/>
      <c r="CG68" s="116">
        <v>0</v>
      </c>
      <c r="CH68" s="112"/>
      <c r="CI68" s="115"/>
      <c r="CJ68" s="116">
        <v>0</v>
      </c>
      <c r="CK68" s="112"/>
      <c r="CL68" s="115"/>
      <c r="CM68" s="116">
        <v>0</v>
      </c>
      <c r="CN68" s="112"/>
      <c r="CO68" s="115"/>
      <c r="CP68" s="92"/>
      <c r="CQ68" s="112"/>
    </row>
    <row r="69" spans="1:95" ht="12" x14ac:dyDescent="0.25">
      <c r="A69" s="111" t="s">
        <v>122</v>
      </c>
      <c r="B69" s="159"/>
      <c r="C69" s="112"/>
      <c r="D69" s="112">
        <v>0</v>
      </c>
      <c r="E69" s="112">
        <v>0</v>
      </c>
      <c r="F69" s="112"/>
      <c r="G69" s="112">
        <v>0</v>
      </c>
      <c r="H69" s="112"/>
      <c r="I69" s="112"/>
      <c r="J69" s="112">
        <v>0</v>
      </c>
      <c r="K69" s="112">
        <v>0</v>
      </c>
      <c r="L69" s="114"/>
      <c r="M69" s="112">
        <v>2</v>
      </c>
      <c r="N69" s="112">
        <v>0</v>
      </c>
      <c r="O69" s="114"/>
      <c r="P69" s="112">
        <v>0</v>
      </c>
      <c r="Q69" s="112">
        <v>0</v>
      </c>
      <c r="R69" s="114"/>
      <c r="S69" s="112">
        <v>0</v>
      </c>
      <c r="T69" s="112">
        <v>0</v>
      </c>
      <c r="U69" s="114"/>
      <c r="V69" s="112">
        <v>0</v>
      </c>
      <c r="W69" s="112">
        <v>0</v>
      </c>
      <c r="X69" s="115"/>
      <c r="Y69" s="112">
        <v>0</v>
      </c>
      <c r="Z69" s="112">
        <v>0</v>
      </c>
      <c r="AA69" s="115"/>
      <c r="AB69" s="112">
        <v>0</v>
      </c>
      <c r="AC69" s="112">
        <v>0</v>
      </c>
      <c r="AD69" s="115"/>
      <c r="AE69" s="112">
        <v>0</v>
      </c>
      <c r="AF69" s="112"/>
      <c r="AG69" s="115"/>
      <c r="AH69" s="112">
        <v>2</v>
      </c>
      <c r="AI69" s="112">
        <v>0.6</v>
      </c>
      <c r="AJ69" s="115"/>
      <c r="AK69" s="112">
        <v>0</v>
      </c>
      <c r="AL69" s="112">
        <v>0</v>
      </c>
      <c r="AM69" s="115"/>
      <c r="AN69" s="112">
        <v>2</v>
      </c>
      <c r="AO69" s="112">
        <v>0</v>
      </c>
      <c r="AP69" s="115"/>
      <c r="AQ69" s="112">
        <v>0</v>
      </c>
      <c r="AR69" s="112">
        <v>0</v>
      </c>
      <c r="AS69" s="115"/>
      <c r="AT69" s="112">
        <v>0</v>
      </c>
      <c r="AU69" s="112">
        <v>0</v>
      </c>
      <c r="AV69" s="115"/>
      <c r="AW69" s="112">
        <v>0</v>
      </c>
      <c r="AX69" s="112">
        <v>0</v>
      </c>
      <c r="AY69" s="115"/>
      <c r="AZ69" s="112">
        <v>0</v>
      </c>
      <c r="BA69" s="112">
        <v>0</v>
      </c>
      <c r="BB69" s="115"/>
      <c r="BC69" s="112">
        <v>0</v>
      </c>
      <c r="BD69" s="112">
        <v>0</v>
      </c>
      <c r="BE69" s="115"/>
      <c r="BF69" s="112">
        <v>0</v>
      </c>
      <c r="BG69" s="112">
        <v>0</v>
      </c>
      <c r="BH69" s="115"/>
      <c r="BI69" s="112">
        <v>0</v>
      </c>
      <c r="BJ69" s="112">
        <v>0</v>
      </c>
      <c r="BK69" s="115"/>
      <c r="BL69" s="112">
        <v>0</v>
      </c>
      <c r="BM69" s="112">
        <v>0</v>
      </c>
      <c r="BN69" s="115"/>
      <c r="BO69" s="112">
        <v>0</v>
      </c>
      <c r="BP69" s="112">
        <v>0</v>
      </c>
      <c r="BQ69" s="115"/>
      <c r="BR69" s="112">
        <v>0</v>
      </c>
      <c r="BS69" s="112">
        <v>0</v>
      </c>
      <c r="BT69" s="115"/>
      <c r="BU69" s="112">
        <v>0</v>
      </c>
      <c r="BV69" s="112">
        <v>0</v>
      </c>
      <c r="BW69" s="115"/>
      <c r="BX69" s="112">
        <v>0</v>
      </c>
      <c r="BY69" s="112"/>
      <c r="BZ69" s="115"/>
      <c r="CA69" s="116">
        <v>0</v>
      </c>
      <c r="CB69" s="112"/>
      <c r="CC69" s="115"/>
      <c r="CD69" s="116">
        <v>0</v>
      </c>
      <c r="CE69" s="112"/>
      <c r="CF69" s="115"/>
      <c r="CG69" s="116">
        <v>0</v>
      </c>
      <c r="CH69" s="112"/>
      <c r="CI69" s="115"/>
      <c r="CJ69" s="116">
        <v>0</v>
      </c>
      <c r="CK69" s="112"/>
      <c r="CL69" s="115"/>
      <c r="CM69" s="116">
        <v>0</v>
      </c>
      <c r="CN69" s="112"/>
      <c r="CO69" s="115"/>
      <c r="CP69" s="92"/>
      <c r="CQ69" s="112"/>
    </row>
    <row r="70" spans="1:95" ht="12" x14ac:dyDescent="0.25">
      <c r="A70" s="111" t="s">
        <v>123</v>
      </c>
      <c r="B70" s="159"/>
      <c r="C70" s="112"/>
      <c r="D70" s="112">
        <v>0</v>
      </c>
      <c r="E70" s="112">
        <v>0</v>
      </c>
      <c r="F70" s="112"/>
      <c r="G70" s="112">
        <v>0</v>
      </c>
      <c r="H70" s="112"/>
      <c r="I70" s="112"/>
      <c r="J70" s="112">
        <v>0</v>
      </c>
      <c r="K70" s="112">
        <v>0</v>
      </c>
      <c r="L70" s="114"/>
      <c r="M70" s="112">
        <v>0</v>
      </c>
      <c r="N70" s="112">
        <v>0</v>
      </c>
      <c r="O70" s="114"/>
      <c r="P70" s="112">
        <v>0</v>
      </c>
      <c r="Q70" s="112">
        <v>0</v>
      </c>
      <c r="R70" s="114"/>
      <c r="S70" s="112">
        <v>0</v>
      </c>
      <c r="T70" s="112">
        <v>0</v>
      </c>
      <c r="U70" s="114"/>
      <c r="V70" s="112">
        <v>0</v>
      </c>
      <c r="W70" s="112">
        <v>0</v>
      </c>
      <c r="X70" s="115"/>
      <c r="Y70" s="112">
        <v>0</v>
      </c>
      <c r="Z70" s="112">
        <v>0</v>
      </c>
      <c r="AA70" s="115"/>
      <c r="AB70" s="112">
        <v>0</v>
      </c>
      <c r="AC70" s="112">
        <v>0</v>
      </c>
      <c r="AD70" s="115"/>
      <c r="AE70" s="112">
        <v>0</v>
      </c>
      <c r="AF70" s="112"/>
      <c r="AG70" s="115"/>
      <c r="AH70" s="112">
        <v>2</v>
      </c>
      <c r="AI70" s="112">
        <v>0.6</v>
      </c>
      <c r="AJ70" s="115"/>
      <c r="AK70" s="112">
        <v>0</v>
      </c>
      <c r="AL70" s="112">
        <v>0</v>
      </c>
      <c r="AM70" s="115"/>
      <c r="AN70" s="112">
        <v>0</v>
      </c>
      <c r="AO70" s="112">
        <v>0</v>
      </c>
      <c r="AP70" s="115"/>
      <c r="AQ70" s="112">
        <v>0</v>
      </c>
      <c r="AR70" s="112">
        <v>0</v>
      </c>
      <c r="AS70" s="115"/>
      <c r="AT70" s="112">
        <v>0</v>
      </c>
      <c r="AU70" s="112">
        <v>0</v>
      </c>
      <c r="AV70" s="115"/>
      <c r="AW70" s="112">
        <v>0</v>
      </c>
      <c r="AX70" s="112">
        <v>0</v>
      </c>
      <c r="AY70" s="115"/>
      <c r="AZ70" s="112">
        <v>0</v>
      </c>
      <c r="BA70" s="112">
        <v>0</v>
      </c>
      <c r="BB70" s="115"/>
      <c r="BC70" s="112">
        <v>0</v>
      </c>
      <c r="BD70" s="112">
        <v>0</v>
      </c>
      <c r="BE70" s="115"/>
      <c r="BF70" s="112">
        <v>0</v>
      </c>
      <c r="BG70" s="112">
        <v>0</v>
      </c>
      <c r="BH70" s="115"/>
      <c r="BI70" s="112">
        <v>0</v>
      </c>
      <c r="BJ70" s="112">
        <v>0</v>
      </c>
      <c r="BK70" s="115"/>
      <c r="BL70" s="112">
        <v>0</v>
      </c>
      <c r="BM70" s="112">
        <v>0</v>
      </c>
      <c r="BN70" s="115"/>
      <c r="BO70" s="112">
        <v>0</v>
      </c>
      <c r="BP70" s="112">
        <v>0</v>
      </c>
      <c r="BQ70" s="115"/>
      <c r="BR70" s="112">
        <v>0</v>
      </c>
      <c r="BS70" s="112">
        <v>0</v>
      </c>
      <c r="BT70" s="115"/>
      <c r="BU70" s="112">
        <v>0</v>
      </c>
      <c r="BV70" s="112">
        <v>0</v>
      </c>
      <c r="BW70" s="115"/>
      <c r="BX70" s="112">
        <v>0</v>
      </c>
      <c r="BY70" s="112"/>
      <c r="BZ70" s="115"/>
      <c r="CA70" s="116">
        <v>0</v>
      </c>
      <c r="CB70" s="112"/>
      <c r="CC70" s="115"/>
      <c r="CD70" s="116">
        <v>0</v>
      </c>
      <c r="CE70" s="112"/>
      <c r="CF70" s="115"/>
      <c r="CG70" s="116">
        <v>0</v>
      </c>
      <c r="CH70" s="112"/>
      <c r="CI70" s="115"/>
      <c r="CJ70" s="116">
        <v>0</v>
      </c>
      <c r="CK70" s="112"/>
      <c r="CL70" s="115"/>
      <c r="CM70" s="116">
        <v>0</v>
      </c>
      <c r="CN70" s="112"/>
      <c r="CO70" s="115"/>
      <c r="CP70" s="92"/>
      <c r="CQ70" s="112"/>
    </row>
    <row r="71" spans="1:95" ht="12" x14ac:dyDescent="0.25">
      <c r="A71" s="111" t="s">
        <v>124</v>
      </c>
      <c r="B71" s="159"/>
      <c r="C71" s="112"/>
      <c r="D71" s="112">
        <v>0</v>
      </c>
      <c r="E71" s="112">
        <v>0</v>
      </c>
      <c r="F71" s="112"/>
      <c r="G71" s="112">
        <v>0</v>
      </c>
      <c r="H71" s="112"/>
      <c r="I71" s="112"/>
      <c r="J71" s="112">
        <v>0</v>
      </c>
      <c r="K71" s="112">
        <v>0</v>
      </c>
      <c r="L71" s="114"/>
      <c r="M71" s="112">
        <v>0</v>
      </c>
      <c r="N71" s="112">
        <v>0</v>
      </c>
      <c r="O71" s="114"/>
      <c r="P71" s="112">
        <v>0</v>
      </c>
      <c r="Q71" s="112">
        <v>0</v>
      </c>
      <c r="R71" s="114"/>
      <c r="S71" s="112">
        <v>0</v>
      </c>
      <c r="T71" s="112">
        <v>0</v>
      </c>
      <c r="U71" s="114"/>
      <c r="V71" s="112">
        <v>0</v>
      </c>
      <c r="W71" s="112">
        <v>0</v>
      </c>
      <c r="X71" s="115"/>
      <c r="Y71" s="112">
        <v>0</v>
      </c>
      <c r="Z71" s="112">
        <v>0</v>
      </c>
      <c r="AA71" s="115"/>
      <c r="AB71" s="112">
        <v>0</v>
      </c>
      <c r="AC71" s="112">
        <v>0</v>
      </c>
      <c r="AD71" s="115"/>
      <c r="AE71" s="112">
        <v>0</v>
      </c>
      <c r="AF71" s="112"/>
      <c r="AG71" s="115"/>
      <c r="AH71" s="112">
        <v>2</v>
      </c>
      <c r="AI71" s="112">
        <v>0.6</v>
      </c>
      <c r="AJ71" s="115"/>
      <c r="AK71" s="112">
        <v>0</v>
      </c>
      <c r="AL71" s="112">
        <v>0</v>
      </c>
      <c r="AM71" s="115"/>
      <c r="AN71" s="112">
        <v>2</v>
      </c>
      <c r="AO71" s="112">
        <v>0</v>
      </c>
      <c r="AP71" s="115"/>
      <c r="AQ71" s="112">
        <v>0</v>
      </c>
      <c r="AR71" s="112">
        <v>0</v>
      </c>
      <c r="AS71" s="115"/>
      <c r="AT71" s="112">
        <v>0</v>
      </c>
      <c r="AU71" s="112">
        <v>0</v>
      </c>
      <c r="AV71" s="115"/>
      <c r="AW71" s="112">
        <v>0</v>
      </c>
      <c r="AX71" s="112">
        <v>0</v>
      </c>
      <c r="AY71" s="115"/>
      <c r="AZ71" s="112">
        <v>0</v>
      </c>
      <c r="BA71" s="112">
        <v>0</v>
      </c>
      <c r="BB71" s="115"/>
      <c r="BC71" s="112">
        <v>0</v>
      </c>
      <c r="BD71" s="112">
        <v>0</v>
      </c>
      <c r="BE71" s="115"/>
      <c r="BF71" s="112">
        <v>0</v>
      </c>
      <c r="BG71" s="112">
        <v>0</v>
      </c>
      <c r="BH71" s="115"/>
      <c r="BI71" s="112">
        <v>0</v>
      </c>
      <c r="BJ71" s="112">
        <v>0</v>
      </c>
      <c r="BK71" s="115"/>
      <c r="BL71" s="112">
        <v>0</v>
      </c>
      <c r="BM71" s="112">
        <v>0</v>
      </c>
      <c r="BN71" s="115"/>
      <c r="BO71" s="112">
        <v>0</v>
      </c>
      <c r="BP71" s="112">
        <v>0</v>
      </c>
      <c r="BQ71" s="115"/>
      <c r="BR71" s="112">
        <v>0</v>
      </c>
      <c r="BS71" s="112">
        <v>0</v>
      </c>
      <c r="BT71" s="115"/>
      <c r="BU71" s="112">
        <v>0</v>
      </c>
      <c r="BV71" s="112">
        <v>0</v>
      </c>
      <c r="BW71" s="115"/>
      <c r="BX71" s="112">
        <v>0</v>
      </c>
      <c r="BY71" s="112"/>
      <c r="BZ71" s="115"/>
      <c r="CA71" s="116">
        <v>0</v>
      </c>
      <c r="CB71" s="112"/>
      <c r="CC71" s="115"/>
      <c r="CD71" s="116">
        <v>0</v>
      </c>
      <c r="CE71" s="112"/>
      <c r="CF71" s="115"/>
      <c r="CG71" s="116">
        <v>0</v>
      </c>
      <c r="CH71" s="112"/>
      <c r="CI71" s="115"/>
      <c r="CJ71" s="116">
        <v>0</v>
      </c>
      <c r="CK71" s="112"/>
      <c r="CL71" s="115"/>
      <c r="CM71" s="116">
        <v>0</v>
      </c>
      <c r="CN71" s="112"/>
      <c r="CO71" s="115"/>
      <c r="CP71" s="92"/>
      <c r="CQ71" s="112"/>
    </row>
    <row r="72" spans="1:95" ht="12" x14ac:dyDescent="0.25">
      <c r="A72" s="111" t="s">
        <v>125</v>
      </c>
      <c r="B72" s="159"/>
      <c r="C72" s="112"/>
      <c r="D72" s="112">
        <v>0</v>
      </c>
      <c r="E72" s="112">
        <v>0</v>
      </c>
      <c r="F72" s="112"/>
      <c r="G72" s="112">
        <v>0</v>
      </c>
      <c r="H72" s="112"/>
      <c r="I72" s="112"/>
      <c r="J72" s="112">
        <v>0</v>
      </c>
      <c r="K72" s="112">
        <v>0</v>
      </c>
      <c r="L72" s="114"/>
      <c r="M72" s="112">
        <v>0</v>
      </c>
      <c r="N72" s="112">
        <v>0</v>
      </c>
      <c r="O72" s="114"/>
      <c r="P72" s="112">
        <v>0</v>
      </c>
      <c r="Q72" s="112">
        <v>0</v>
      </c>
      <c r="R72" s="114"/>
      <c r="S72" s="112">
        <v>0</v>
      </c>
      <c r="T72" s="112">
        <v>0</v>
      </c>
      <c r="U72" s="114"/>
      <c r="V72" s="112">
        <v>0</v>
      </c>
      <c r="W72" s="112">
        <v>0</v>
      </c>
      <c r="X72" s="115"/>
      <c r="Y72" s="112">
        <v>0</v>
      </c>
      <c r="Z72" s="112">
        <v>0</v>
      </c>
      <c r="AA72" s="115"/>
      <c r="AB72" s="112">
        <v>0</v>
      </c>
      <c r="AC72" s="112">
        <v>0</v>
      </c>
      <c r="AD72" s="115"/>
      <c r="AE72" s="112">
        <v>0</v>
      </c>
      <c r="AF72" s="112"/>
      <c r="AG72" s="115"/>
      <c r="AH72" s="112">
        <v>0</v>
      </c>
      <c r="AI72" s="112">
        <v>2.6</v>
      </c>
      <c r="AJ72" s="115"/>
      <c r="AK72" s="112">
        <v>0</v>
      </c>
      <c r="AL72" s="112">
        <v>0</v>
      </c>
      <c r="AM72" s="115"/>
      <c r="AN72" s="112">
        <v>0</v>
      </c>
      <c r="AO72" s="112">
        <v>0</v>
      </c>
      <c r="AP72" s="115"/>
      <c r="AQ72" s="112">
        <v>0</v>
      </c>
      <c r="AR72" s="112">
        <v>0</v>
      </c>
      <c r="AS72" s="115"/>
      <c r="AT72" s="112">
        <v>0</v>
      </c>
      <c r="AU72" s="112">
        <v>0</v>
      </c>
      <c r="AV72" s="115"/>
      <c r="AW72" s="112">
        <v>0</v>
      </c>
      <c r="AX72" s="112">
        <v>0</v>
      </c>
      <c r="AY72" s="115"/>
      <c r="AZ72" s="112">
        <v>0</v>
      </c>
      <c r="BA72" s="112">
        <v>0</v>
      </c>
      <c r="BB72" s="115"/>
      <c r="BC72" s="112">
        <v>0</v>
      </c>
      <c r="BD72" s="112">
        <v>0</v>
      </c>
      <c r="BE72" s="115"/>
      <c r="BF72" s="112">
        <v>0</v>
      </c>
      <c r="BG72" s="112">
        <v>0</v>
      </c>
      <c r="BH72" s="115"/>
      <c r="BI72" s="112">
        <v>0</v>
      </c>
      <c r="BJ72" s="112">
        <v>0</v>
      </c>
      <c r="BK72" s="115"/>
      <c r="BL72" s="112">
        <v>0</v>
      </c>
      <c r="BM72" s="112">
        <v>0</v>
      </c>
      <c r="BN72" s="115"/>
      <c r="BO72" s="112">
        <v>0</v>
      </c>
      <c r="BP72" s="112">
        <v>0</v>
      </c>
      <c r="BQ72" s="115"/>
      <c r="BR72" s="112">
        <v>0</v>
      </c>
      <c r="BS72" s="112">
        <v>0</v>
      </c>
      <c r="BT72" s="115"/>
      <c r="BU72" s="112">
        <v>0</v>
      </c>
      <c r="BV72" s="112">
        <v>0</v>
      </c>
      <c r="BW72" s="115"/>
      <c r="BX72" s="112">
        <v>0</v>
      </c>
      <c r="BY72" s="112"/>
      <c r="BZ72" s="115"/>
      <c r="CA72" s="116">
        <v>0</v>
      </c>
      <c r="CB72" s="112"/>
      <c r="CC72" s="115"/>
      <c r="CD72" s="116">
        <v>0</v>
      </c>
      <c r="CE72" s="112"/>
      <c r="CF72" s="115"/>
      <c r="CG72" s="116">
        <v>0</v>
      </c>
      <c r="CH72" s="112"/>
      <c r="CI72" s="115"/>
      <c r="CJ72" s="116">
        <v>0</v>
      </c>
      <c r="CK72" s="112"/>
      <c r="CL72" s="115"/>
      <c r="CM72" s="116">
        <v>0</v>
      </c>
      <c r="CN72" s="112"/>
      <c r="CO72" s="115"/>
      <c r="CP72" s="92"/>
      <c r="CQ72" s="112"/>
    </row>
    <row r="73" spans="1:95" ht="12" x14ac:dyDescent="0.25">
      <c r="A73" s="111" t="s">
        <v>126</v>
      </c>
      <c r="B73" s="159"/>
      <c r="C73" s="112"/>
      <c r="D73" s="112">
        <v>0</v>
      </c>
      <c r="E73" s="112">
        <v>0</v>
      </c>
      <c r="F73" s="112"/>
      <c r="G73" s="112">
        <v>0</v>
      </c>
      <c r="H73" s="112"/>
      <c r="I73" s="112"/>
      <c r="J73" s="112">
        <v>0</v>
      </c>
      <c r="K73" s="112">
        <v>0</v>
      </c>
      <c r="L73" s="114"/>
      <c r="M73" s="112">
        <v>0</v>
      </c>
      <c r="N73" s="112">
        <v>0</v>
      </c>
      <c r="O73" s="114"/>
      <c r="P73" s="112">
        <v>0</v>
      </c>
      <c r="Q73" s="112">
        <v>0</v>
      </c>
      <c r="R73" s="114"/>
      <c r="S73" s="112">
        <v>0</v>
      </c>
      <c r="T73" s="112">
        <v>0</v>
      </c>
      <c r="U73" s="114"/>
      <c r="V73" s="112">
        <v>0</v>
      </c>
      <c r="W73" s="112">
        <v>0</v>
      </c>
      <c r="X73" s="115"/>
      <c r="Y73" s="112">
        <v>0</v>
      </c>
      <c r="Z73" s="112">
        <v>0</v>
      </c>
      <c r="AA73" s="115"/>
      <c r="AB73" s="112">
        <v>0</v>
      </c>
      <c r="AC73" s="112">
        <v>0</v>
      </c>
      <c r="AD73" s="115"/>
      <c r="AE73" s="112">
        <v>0</v>
      </c>
      <c r="AF73" s="112"/>
      <c r="AG73" s="115"/>
      <c r="AH73" s="112">
        <v>0</v>
      </c>
      <c r="AI73" s="112">
        <v>2.6</v>
      </c>
      <c r="AJ73" s="115"/>
      <c r="AK73" s="112">
        <v>0</v>
      </c>
      <c r="AL73" s="112">
        <v>0</v>
      </c>
      <c r="AM73" s="115"/>
      <c r="AN73" s="112">
        <v>0</v>
      </c>
      <c r="AO73" s="112">
        <v>0</v>
      </c>
      <c r="AP73" s="115"/>
      <c r="AQ73" s="112">
        <v>0</v>
      </c>
      <c r="AR73" s="112">
        <v>0</v>
      </c>
      <c r="AS73" s="115"/>
      <c r="AT73" s="112">
        <v>0</v>
      </c>
      <c r="AU73" s="112">
        <v>0</v>
      </c>
      <c r="AV73" s="115"/>
      <c r="AW73" s="112">
        <v>0</v>
      </c>
      <c r="AX73" s="112">
        <v>0</v>
      </c>
      <c r="AY73" s="115"/>
      <c r="AZ73" s="112">
        <v>0</v>
      </c>
      <c r="BA73" s="112">
        <v>0</v>
      </c>
      <c r="BB73" s="115"/>
      <c r="BC73" s="112">
        <v>0</v>
      </c>
      <c r="BD73" s="112">
        <v>0</v>
      </c>
      <c r="BE73" s="115"/>
      <c r="BF73" s="112">
        <v>0</v>
      </c>
      <c r="BG73" s="112">
        <v>0</v>
      </c>
      <c r="BH73" s="115"/>
      <c r="BI73" s="112">
        <v>0</v>
      </c>
      <c r="BJ73" s="112">
        <v>0</v>
      </c>
      <c r="BK73" s="115"/>
      <c r="BL73" s="112">
        <v>0</v>
      </c>
      <c r="BM73" s="112">
        <v>0</v>
      </c>
      <c r="BN73" s="115"/>
      <c r="BO73" s="112">
        <v>0</v>
      </c>
      <c r="BP73" s="112">
        <v>0</v>
      </c>
      <c r="BQ73" s="115"/>
      <c r="BR73" s="112">
        <v>0</v>
      </c>
      <c r="BS73" s="112">
        <v>0</v>
      </c>
      <c r="BT73" s="115"/>
      <c r="BU73" s="112">
        <v>0</v>
      </c>
      <c r="BV73" s="112">
        <v>0</v>
      </c>
      <c r="BW73" s="115"/>
      <c r="BX73" s="112">
        <v>0</v>
      </c>
      <c r="BY73" s="112"/>
      <c r="BZ73" s="115"/>
      <c r="CA73" s="116">
        <v>0</v>
      </c>
      <c r="CB73" s="112"/>
      <c r="CC73" s="115"/>
      <c r="CD73" s="116">
        <v>0</v>
      </c>
      <c r="CE73" s="112"/>
      <c r="CF73" s="115"/>
      <c r="CG73" s="116">
        <v>0</v>
      </c>
      <c r="CH73" s="112"/>
      <c r="CI73" s="115"/>
      <c r="CJ73" s="116">
        <v>0</v>
      </c>
      <c r="CK73" s="112"/>
      <c r="CL73" s="115"/>
      <c r="CM73" s="116">
        <v>0</v>
      </c>
      <c r="CN73" s="112"/>
      <c r="CO73" s="115"/>
      <c r="CP73" s="92"/>
      <c r="CQ73" s="112"/>
    </row>
    <row r="74" spans="1:95" ht="12" x14ac:dyDescent="0.25">
      <c r="A74" s="111" t="s">
        <v>127</v>
      </c>
      <c r="B74" s="159"/>
      <c r="C74" s="112"/>
      <c r="D74" s="112">
        <v>0</v>
      </c>
      <c r="E74" s="112">
        <v>0</v>
      </c>
      <c r="F74" s="112"/>
      <c r="G74" s="112">
        <v>0</v>
      </c>
      <c r="H74" s="112"/>
      <c r="I74" s="112"/>
      <c r="J74" s="112">
        <v>0</v>
      </c>
      <c r="K74" s="112">
        <v>0</v>
      </c>
      <c r="L74" s="114"/>
      <c r="M74" s="112">
        <v>0</v>
      </c>
      <c r="N74" s="112">
        <v>0</v>
      </c>
      <c r="O74" s="114"/>
      <c r="P74" s="112">
        <v>0</v>
      </c>
      <c r="Q74" s="112">
        <v>0</v>
      </c>
      <c r="R74" s="114"/>
      <c r="S74" s="112">
        <v>0</v>
      </c>
      <c r="T74" s="112">
        <v>0</v>
      </c>
      <c r="U74" s="114"/>
      <c r="V74" s="112">
        <v>0</v>
      </c>
      <c r="W74" s="112">
        <v>0</v>
      </c>
      <c r="X74" s="115"/>
      <c r="Y74" s="112">
        <v>0</v>
      </c>
      <c r="Z74" s="112">
        <v>0</v>
      </c>
      <c r="AA74" s="115"/>
      <c r="AB74" s="112">
        <v>0</v>
      </c>
      <c r="AC74" s="112">
        <v>0</v>
      </c>
      <c r="AD74" s="115"/>
      <c r="AE74" s="112">
        <v>0</v>
      </c>
      <c r="AF74" s="112"/>
      <c r="AG74" s="115"/>
      <c r="AH74" s="112">
        <v>0</v>
      </c>
      <c r="AI74" s="112">
        <v>2.6</v>
      </c>
      <c r="AJ74" s="115"/>
      <c r="AK74" s="112">
        <v>0</v>
      </c>
      <c r="AL74" s="112">
        <v>0</v>
      </c>
      <c r="AM74" s="115"/>
      <c r="AN74" s="112">
        <v>0</v>
      </c>
      <c r="AO74" s="112">
        <v>0</v>
      </c>
      <c r="AP74" s="115"/>
      <c r="AQ74" s="112">
        <v>0</v>
      </c>
      <c r="AR74" s="112">
        <v>0</v>
      </c>
      <c r="AS74" s="115"/>
      <c r="AT74" s="112">
        <v>0</v>
      </c>
      <c r="AU74" s="112">
        <v>0</v>
      </c>
      <c r="AV74" s="115"/>
      <c r="AW74" s="112">
        <v>0</v>
      </c>
      <c r="AX74" s="112">
        <v>0</v>
      </c>
      <c r="AY74" s="115"/>
      <c r="AZ74" s="112">
        <v>0</v>
      </c>
      <c r="BA74" s="112">
        <v>0</v>
      </c>
      <c r="BB74" s="115"/>
      <c r="BC74" s="112">
        <v>0</v>
      </c>
      <c r="BD74" s="112">
        <v>0</v>
      </c>
      <c r="BE74" s="115"/>
      <c r="BF74" s="112">
        <v>0</v>
      </c>
      <c r="BG74" s="112">
        <v>0</v>
      </c>
      <c r="BH74" s="115"/>
      <c r="BI74" s="112">
        <v>0</v>
      </c>
      <c r="BJ74" s="112">
        <v>0</v>
      </c>
      <c r="BK74" s="115"/>
      <c r="BL74" s="112">
        <v>0</v>
      </c>
      <c r="BM74" s="112">
        <v>0</v>
      </c>
      <c r="BN74" s="115"/>
      <c r="BO74" s="112">
        <v>0</v>
      </c>
      <c r="BP74" s="112">
        <v>0</v>
      </c>
      <c r="BQ74" s="115"/>
      <c r="BR74" s="112">
        <v>0</v>
      </c>
      <c r="BS74" s="112">
        <v>0</v>
      </c>
      <c r="BT74" s="115"/>
      <c r="BU74" s="112">
        <v>0</v>
      </c>
      <c r="BV74" s="112">
        <v>0</v>
      </c>
      <c r="BW74" s="115"/>
      <c r="BX74" s="112">
        <v>0</v>
      </c>
      <c r="BY74" s="112"/>
      <c r="BZ74" s="115"/>
      <c r="CA74" s="116">
        <v>0</v>
      </c>
      <c r="CB74" s="112"/>
      <c r="CC74" s="115"/>
      <c r="CD74" s="116">
        <v>0</v>
      </c>
      <c r="CE74" s="112"/>
      <c r="CF74" s="115"/>
      <c r="CG74" s="116">
        <v>0</v>
      </c>
      <c r="CH74" s="112"/>
      <c r="CI74" s="115"/>
      <c r="CJ74" s="116">
        <v>0</v>
      </c>
      <c r="CK74" s="112"/>
      <c r="CL74" s="115"/>
      <c r="CM74" s="116">
        <v>0</v>
      </c>
      <c r="CN74" s="112"/>
      <c r="CO74" s="115"/>
      <c r="CP74" s="92"/>
      <c r="CQ74" s="112"/>
    </row>
    <row r="75" spans="1:95" ht="12" x14ac:dyDescent="0.25">
      <c r="A75" s="111" t="s">
        <v>128</v>
      </c>
      <c r="B75" s="159"/>
      <c r="C75" s="112"/>
      <c r="D75" s="112">
        <v>0</v>
      </c>
      <c r="E75" s="112">
        <v>0</v>
      </c>
      <c r="F75" s="112"/>
      <c r="G75" s="112">
        <v>0</v>
      </c>
      <c r="H75" s="112"/>
      <c r="I75" s="112"/>
      <c r="J75" s="112">
        <v>0</v>
      </c>
      <c r="K75" s="112">
        <v>0</v>
      </c>
      <c r="L75" s="114"/>
      <c r="M75" s="112">
        <v>0</v>
      </c>
      <c r="N75" s="112">
        <v>0</v>
      </c>
      <c r="O75" s="114"/>
      <c r="P75" s="112">
        <v>0</v>
      </c>
      <c r="Q75" s="112">
        <v>0</v>
      </c>
      <c r="R75" s="114"/>
      <c r="S75" s="112">
        <v>0</v>
      </c>
      <c r="T75" s="112">
        <v>0</v>
      </c>
      <c r="U75" s="114"/>
      <c r="V75" s="112">
        <v>0</v>
      </c>
      <c r="W75" s="112">
        <v>0</v>
      </c>
      <c r="X75" s="115"/>
      <c r="Y75" s="112">
        <v>0</v>
      </c>
      <c r="Z75" s="112">
        <v>0</v>
      </c>
      <c r="AA75" s="115"/>
      <c r="AB75" s="112">
        <v>0</v>
      </c>
      <c r="AC75" s="112">
        <v>0</v>
      </c>
      <c r="AD75" s="115"/>
      <c r="AE75" s="112">
        <v>0</v>
      </c>
      <c r="AF75" s="112"/>
      <c r="AG75" s="115"/>
      <c r="AH75" s="112">
        <v>0</v>
      </c>
      <c r="AI75" s="112">
        <v>2.6</v>
      </c>
      <c r="AJ75" s="115"/>
      <c r="AK75" s="112">
        <v>0</v>
      </c>
      <c r="AL75" s="112">
        <v>0</v>
      </c>
      <c r="AM75" s="115"/>
      <c r="AN75" s="112">
        <v>0</v>
      </c>
      <c r="AO75" s="112">
        <v>0</v>
      </c>
      <c r="AP75" s="115"/>
      <c r="AQ75" s="112">
        <v>0</v>
      </c>
      <c r="AR75" s="112">
        <v>0</v>
      </c>
      <c r="AS75" s="115"/>
      <c r="AT75" s="112">
        <v>0</v>
      </c>
      <c r="AU75" s="112">
        <v>0</v>
      </c>
      <c r="AV75" s="115"/>
      <c r="AW75" s="112">
        <v>0</v>
      </c>
      <c r="AX75" s="112">
        <v>0</v>
      </c>
      <c r="AY75" s="115"/>
      <c r="AZ75" s="112">
        <v>0</v>
      </c>
      <c r="BA75" s="112">
        <v>0</v>
      </c>
      <c r="BB75" s="115"/>
      <c r="BC75" s="112">
        <v>0</v>
      </c>
      <c r="BD75" s="112">
        <v>0</v>
      </c>
      <c r="BE75" s="115"/>
      <c r="BF75" s="112">
        <v>0</v>
      </c>
      <c r="BG75" s="112">
        <v>0</v>
      </c>
      <c r="BH75" s="115"/>
      <c r="BI75" s="112">
        <v>0</v>
      </c>
      <c r="BJ75" s="112">
        <v>0</v>
      </c>
      <c r="BK75" s="115"/>
      <c r="BL75" s="112">
        <v>0</v>
      </c>
      <c r="BM75" s="112">
        <v>0</v>
      </c>
      <c r="BN75" s="115"/>
      <c r="BO75" s="112">
        <v>0</v>
      </c>
      <c r="BP75" s="112">
        <v>0</v>
      </c>
      <c r="BQ75" s="115"/>
      <c r="BR75" s="112">
        <v>0</v>
      </c>
      <c r="BS75" s="112">
        <v>0</v>
      </c>
      <c r="BT75" s="115"/>
      <c r="BU75" s="112">
        <v>0</v>
      </c>
      <c r="BV75" s="112">
        <v>0</v>
      </c>
      <c r="BW75" s="115"/>
      <c r="BX75" s="112">
        <v>0</v>
      </c>
      <c r="BY75" s="112"/>
      <c r="BZ75" s="115"/>
      <c r="CA75" s="116">
        <v>0</v>
      </c>
      <c r="CB75" s="112"/>
      <c r="CC75" s="115"/>
      <c r="CD75" s="116">
        <v>0</v>
      </c>
      <c r="CE75" s="112"/>
      <c r="CF75" s="115"/>
      <c r="CG75" s="116">
        <v>0</v>
      </c>
      <c r="CH75" s="112"/>
      <c r="CI75" s="115"/>
      <c r="CJ75" s="116">
        <v>0</v>
      </c>
      <c r="CK75" s="112"/>
      <c r="CL75" s="115"/>
      <c r="CM75" s="116">
        <v>0</v>
      </c>
      <c r="CN75" s="112"/>
      <c r="CO75" s="115"/>
      <c r="CP75" s="92"/>
      <c r="CQ75" s="112"/>
    </row>
    <row r="76" spans="1:95" ht="12" x14ac:dyDescent="0.25">
      <c r="A76" s="111" t="s">
        <v>129</v>
      </c>
      <c r="B76" s="159"/>
      <c r="C76" s="112"/>
      <c r="D76" s="112">
        <v>0</v>
      </c>
      <c r="E76" s="112">
        <v>0</v>
      </c>
      <c r="F76" s="112"/>
      <c r="G76" s="112">
        <v>0</v>
      </c>
      <c r="H76" s="112"/>
      <c r="I76" s="112"/>
      <c r="J76" s="112">
        <v>0</v>
      </c>
      <c r="K76" s="112">
        <v>0</v>
      </c>
      <c r="L76" s="114"/>
      <c r="M76" s="112">
        <v>0</v>
      </c>
      <c r="N76" s="112">
        <v>0</v>
      </c>
      <c r="O76" s="114"/>
      <c r="P76" s="112">
        <v>0</v>
      </c>
      <c r="Q76" s="112">
        <v>0</v>
      </c>
      <c r="R76" s="114"/>
      <c r="S76" s="112">
        <v>0</v>
      </c>
      <c r="T76" s="112">
        <v>0</v>
      </c>
      <c r="U76" s="114"/>
      <c r="V76" s="112">
        <v>0</v>
      </c>
      <c r="W76" s="112">
        <v>0</v>
      </c>
      <c r="X76" s="115"/>
      <c r="Y76" s="112">
        <v>0</v>
      </c>
      <c r="Z76" s="112">
        <v>0</v>
      </c>
      <c r="AA76" s="115"/>
      <c r="AB76" s="112">
        <v>0</v>
      </c>
      <c r="AC76" s="112">
        <v>0</v>
      </c>
      <c r="AD76" s="115"/>
      <c r="AE76" s="112">
        <v>0</v>
      </c>
      <c r="AF76" s="112"/>
      <c r="AG76" s="115"/>
      <c r="AH76" s="112">
        <v>0</v>
      </c>
      <c r="AI76" s="112">
        <v>2.6</v>
      </c>
      <c r="AJ76" s="115"/>
      <c r="AK76" s="112">
        <v>0</v>
      </c>
      <c r="AL76" s="112">
        <v>0</v>
      </c>
      <c r="AM76" s="115"/>
      <c r="AN76" s="112">
        <v>0</v>
      </c>
      <c r="AO76" s="112">
        <v>0</v>
      </c>
      <c r="AP76" s="115"/>
      <c r="AQ76" s="112">
        <v>0</v>
      </c>
      <c r="AR76" s="112">
        <v>0</v>
      </c>
      <c r="AS76" s="115"/>
      <c r="AT76" s="112">
        <v>0</v>
      </c>
      <c r="AU76" s="112">
        <v>0</v>
      </c>
      <c r="AV76" s="115"/>
      <c r="AW76" s="112">
        <v>0</v>
      </c>
      <c r="AX76" s="112">
        <v>0</v>
      </c>
      <c r="AY76" s="115"/>
      <c r="AZ76" s="112">
        <v>0</v>
      </c>
      <c r="BA76" s="112">
        <v>0</v>
      </c>
      <c r="BB76" s="115"/>
      <c r="BC76" s="112">
        <v>0</v>
      </c>
      <c r="BD76" s="112">
        <v>0</v>
      </c>
      <c r="BE76" s="115"/>
      <c r="BF76" s="112">
        <v>0</v>
      </c>
      <c r="BG76" s="112">
        <v>0</v>
      </c>
      <c r="BH76" s="115"/>
      <c r="BI76" s="112">
        <v>0</v>
      </c>
      <c r="BJ76" s="112">
        <v>0</v>
      </c>
      <c r="BK76" s="115"/>
      <c r="BL76" s="112">
        <v>0</v>
      </c>
      <c r="BM76" s="112">
        <v>0</v>
      </c>
      <c r="BN76" s="115"/>
      <c r="BO76" s="112">
        <v>0</v>
      </c>
      <c r="BP76" s="112">
        <v>0</v>
      </c>
      <c r="BQ76" s="115"/>
      <c r="BR76" s="112">
        <v>0</v>
      </c>
      <c r="BS76" s="112">
        <v>0</v>
      </c>
      <c r="BT76" s="115"/>
      <c r="BU76" s="112">
        <v>0</v>
      </c>
      <c r="BV76" s="112">
        <v>0</v>
      </c>
      <c r="BW76" s="115"/>
      <c r="BX76" s="112">
        <v>0</v>
      </c>
      <c r="BY76" s="112"/>
      <c r="BZ76" s="115"/>
      <c r="CA76" s="116">
        <v>0</v>
      </c>
      <c r="CB76" s="112"/>
      <c r="CC76" s="115"/>
      <c r="CD76" s="116">
        <v>0</v>
      </c>
      <c r="CE76" s="112"/>
      <c r="CF76" s="115"/>
      <c r="CG76" s="116">
        <v>0</v>
      </c>
      <c r="CH76" s="112"/>
      <c r="CI76" s="115"/>
      <c r="CJ76" s="116">
        <v>0</v>
      </c>
      <c r="CK76" s="112"/>
      <c r="CL76" s="115"/>
      <c r="CM76" s="116">
        <v>0</v>
      </c>
      <c r="CN76" s="112"/>
      <c r="CO76" s="115"/>
      <c r="CP76" s="92"/>
      <c r="CQ76" s="112"/>
    </row>
    <row r="77" spans="1:95" ht="12" x14ac:dyDescent="0.25">
      <c r="A77" s="111" t="s">
        <v>130</v>
      </c>
      <c r="B77" s="159"/>
      <c r="C77" s="112"/>
      <c r="D77" s="112">
        <v>0</v>
      </c>
      <c r="E77" s="112">
        <v>0</v>
      </c>
      <c r="F77" s="112"/>
      <c r="G77" s="112">
        <v>0</v>
      </c>
      <c r="H77" s="112"/>
      <c r="I77" s="112"/>
      <c r="J77" s="112">
        <v>0</v>
      </c>
      <c r="K77" s="112">
        <v>0</v>
      </c>
      <c r="L77" s="114"/>
      <c r="M77" s="112">
        <v>0</v>
      </c>
      <c r="N77" s="112">
        <v>0</v>
      </c>
      <c r="O77" s="114"/>
      <c r="P77" s="112">
        <v>0</v>
      </c>
      <c r="Q77" s="112">
        <v>0</v>
      </c>
      <c r="R77" s="114"/>
      <c r="S77" s="112">
        <v>0</v>
      </c>
      <c r="T77" s="112">
        <v>0</v>
      </c>
      <c r="U77" s="114"/>
      <c r="V77" s="112">
        <v>0</v>
      </c>
      <c r="W77" s="112">
        <v>0</v>
      </c>
      <c r="X77" s="115"/>
      <c r="Y77" s="112">
        <v>0</v>
      </c>
      <c r="Z77" s="112">
        <v>0</v>
      </c>
      <c r="AA77" s="115"/>
      <c r="AB77" s="112">
        <v>0</v>
      </c>
      <c r="AC77" s="112">
        <v>0</v>
      </c>
      <c r="AD77" s="115"/>
      <c r="AE77" s="112">
        <v>0</v>
      </c>
      <c r="AF77" s="112"/>
      <c r="AG77" s="115"/>
      <c r="AH77" s="112">
        <v>0</v>
      </c>
      <c r="AI77" s="112">
        <v>2.6</v>
      </c>
      <c r="AJ77" s="115"/>
      <c r="AK77" s="112">
        <v>0</v>
      </c>
      <c r="AL77" s="112">
        <v>0</v>
      </c>
      <c r="AM77" s="115"/>
      <c r="AN77" s="112">
        <v>0</v>
      </c>
      <c r="AO77" s="112">
        <v>0</v>
      </c>
      <c r="AP77" s="115"/>
      <c r="AQ77" s="112">
        <v>0</v>
      </c>
      <c r="AR77" s="112">
        <v>0</v>
      </c>
      <c r="AS77" s="115"/>
      <c r="AT77" s="112">
        <v>0</v>
      </c>
      <c r="AU77" s="112">
        <v>0</v>
      </c>
      <c r="AV77" s="115"/>
      <c r="AW77" s="112">
        <v>0</v>
      </c>
      <c r="AX77" s="112">
        <v>0</v>
      </c>
      <c r="AY77" s="115"/>
      <c r="AZ77" s="112">
        <v>0</v>
      </c>
      <c r="BA77" s="112">
        <v>0</v>
      </c>
      <c r="BB77" s="115"/>
      <c r="BC77" s="112">
        <v>0</v>
      </c>
      <c r="BD77" s="112">
        <v>0</v>
      </c>
      <c r="BE77" s="115"/>
      <c r="BF77" s="112">
        <v>0</v>
      </c>
      <c r="BG77" s="112">
        <v>0</v>
      </c>
      <c r="BH77" s="115"/>
      <c r="BI77" s="112">
        <v>0</v>
      </c>
      <c r="BJ77" s="112">
        <v>0</v>
      </c>
      <c r="BK77" s="115"/>
      <c r="BL77" s="112">
        <v>0</v>
      </c>
      <c r="BM77" s="112">
        <v>0</v>
      </c>
      <c r="BN77" s="115"/>
      <c r="BO77" s="112">
        <v>0</v>
      </c>
      <c r="BP77" s="112">
        <v>0</v>
      </c>
      <c r="BQ77" s="115"/>
      <c r="BR77" s="112">
        <v>0</v>
      </c>
      <c r="BS77" s="112">
        <v>0</v>
      </c>
      <c r="BT77" s="115"/>
      <c r="BU77" s="112">
        <v>0</v>
      </c>
      <c r="BV77" s="112">
        <v>0</v>
      </c>
      <c r="BW77" s="115"/>
      <c r="BX77" s="112">
        <v>0</v>
      </c>
      <c r="BY77" s="112"/>
      <c r="BZ77" s="115"/>
      <c r="CA77" s="116">
        <v>0</v>
      </c>
      <c r="CB77" s="112"/>
      <c r="CC77" s="115"/>
      <c r="CD77" s="116">
        <v>0</v>
      </c>
      <c r="CE77" s="112"/>
      <c r="CF77" s="115"/>
      <c r="CG77" s="116">
        <v>0</v>
      </c>
      <c r="CH77" s="112"/>
      <c r="CI77" s="115"/>
      <c r="CJ77" s="116">
        <v>0</v>
      </c>
      <c r="CK77" s="112"/>
      <c r="CL77" s="115"/>
      <c r="CM77" s="116">
        <v>0</v>
      </c>
      <c r="CN77" s="112"/>
      <c r="CO77" s="115"/>
      <c r="CP77" s="92"/>
      <c r="CQ77" s="112"/>
    </row>
    <row r="78" spans="1:95" ht="12" x14ac:dyDescent="0.25">
      <c r="A78" s="111" t="s">
        <v>131</v>
      </c>
      <c r="B78" s="160"/>
      <c r="C78" s="112"/>
      <c r="D78" s="112">
        <v>0</v>
      </c>
      <c r="E78" s="112">
        <v>0</v>
      </c>
      <c r="F78" s="112"/>
      <c r="G78" s="112">
        <v>0</v>
      </c>
      <c r="H78" s="112"/>
      <c r="I78" s="112"/>
      <c r="J78" s="112">
        <v>0</v>
      </c>
      <c r="K78" s="112">
        <v>0</v>
      </c>
      <c r="L78" s="114"/>
      <c r="M78" s="112">
        <v>0</v>
      </c>
      <c r="N78" s="112">
        <v>0</v>
      </c>
      <c r="O78" s="114"/>
      <c r="P78" s="112">
        <v>0</v>
      </c>
      <c r="Q78" s="112">
        <v>0</v>
      </c>
      <c r="R78" s="114"/>
      <c r="S78" s="112">
        <v>0</v>
      </c>
      <c r="T78" s="112">
        <v>0</v>
      </c>
      <c r="U78" s="114"/>
      <c r="V78" s="112">
        <v>0</v>
      </c>
      <c r="W78" s="112">
        <v>0</v>
      </c>
      <c r="X78" s="115"/>
      <c r="Y78" s="112">
        <v>0</v>
      </c>
      <c r="Z78" s="112">
        <v>0</v>
      </c>
      <c r="AA78" s="115"/>
      <c r="AB78" s="112">
        <v>0</v>
      </c>
      <c r="AC78" s="112">
        <v>0</v>
      </c>
      <c r="AD78" s="115"/>
      <c r="AE78" s="112">
        <v>0</v>
      </c>
      <c r="AF78" s="112"/>
      <c r="AG78" s="115"/>
      <c r="AH78" s="112">
        <v>0</v>
      </c>
      <c r="AI78" s="112">
        <v>2.6</v>
      </c>
      <c r="AJ78" s="115"/>
      <c r="AK78" s="112">
        <v>0</v>
      </c>
      <c r="AL78" s="112">
        <v>0</v>
      </c>
      <c r="AM78" s="115"/>
      <c r="AN78" s="112">
        <v>0</v>
      </c>
      <c r="AO78" s="112">
        <v>0</v>
      </c>
      <c r="AP78" s="115"/>
      <c r="AQ78" s="112">
        <v>0</v>
      </c>
      <c r="AR78" s="112">
        <v>0</v>
      </c>
      <c r="AS78" s="115"/>
      <c r="AT78" s="112">
        <v>0</v>
      </c>
      <c r="AU78" s="112">
        <v>0</v>
      </c>
      <c r="AV78" s="115"/>
      <c r="AW78" s="112">
        <v>0</v>
      </c>
      <c r="AX78" s="112">
        <v>0</v>
      </c>
      <c r="AY78" s="115"/>
      <c r="AZ78" s="112">
        <v>0</v>
      </c>
      <c r="BA78" s="112">
        <v>0</v>
      </c>
      <c r="BB78" s="115"/>
      <c r="BC78" s="112">
        <v>0</v>
      </c>
      <c r="BD78" s="112">
        <v>0</v>
      </c>
      <c r="BE78" s="115"/>
      <c r="BF78" s="112">
        <v>0</v>
      </c>
      <c r="BG78" s="112">
        <v>0</v>
      </c>
      <c r="BH78" s="115"/>
      <c r="BI78" s="112">
        <v>0</v>
      </c>
      <c r="BJ78" s="112">
        <v>0</v>
      </c>
      <c r="BK78" s="115"/>
      <c r="BL78" s="112">
        <v>0</v>
      </c>
      <c r="BM78" s="112">
        <v>0</v>
      </c>
      <c r="BN78" s="115"/>
      <c r="BO78" s="112">
        <v>0</v>
      </c>
      <c r="BP78" s="112">
        <v>0</v>
      </c>
      <c r="BQ78" s="115"/>
      <c r="BR78" s="112">
        <v>0</v>
      </c>
      <c r="BS78" s="112">
        <v>0</v>
      </c>
      <c r="BT78" s="115"/>
      <c r="BU78" s="112">
        <v>0</v>
      </c>
      <c r="BV78" s="112">
        <v>0</v>
      </c>
      <c r="BW78" s="115"/>
      <c r="BX78" s="112">
        <v>0</v>
      </c>
      <c r="BY78" s="112"/>
      <c r="BZ78" s="115"/>
      <c r="CA78" s="116">
        <v>0</v>
      </c>
      <c r="CB78" s="112"/>
      <c r="CC78" s="115"/>
      <c r="CD78" s="116">
        <v>0</v>
      </c>
      <c r="CE78" s="112"/>
      <c r="CF78" s="115"/>
      <c r="CG78" s="116">
        <v>0</v>
      </c>
      <c r="CH78" s="112"/>
      <c r="CI78" s="115"/>
      <c r="CJ78" s="116">
        <v>0</v>
      </c>
      <c r="CK78" s="112"/>
      <c r="CL78" s="115"/>
      <c r="CM78" s="116">
        <v>0</v>
      </c>
      <c r="CN78" s="112"/>
      <c r="CO78" s="115"/>
      <c r="CP78" s="92"/>
      <c r="CQ78" s="112"/>
    </row>
    <row r="79" spans="1:95" ht="12" x14ac:dyDescent="0.25">
      <c r="A79" s="111" t="s">
        <v>132</v>
      </c>
      <c r="B79" s="158" t="s">
        <v>29</v>
      </c>
      <c r="C79" s="112"/>
      <c r="D79" s="112">
        <v>0</v>
      </c>
      <c r="E79" s="112">
        <v>0</v>
      </c>
      <c r="F79" s="112"/>
      <c r="G79" s="112">
        <v>0</v>
      </c>
      <c r="H79" s="112"/>
      <c r="I79" s="112"/>
      <c r="J79" s="112">
        <v>0</v>
      </c>
      <c r="K79" s="112">
        <v>0.51</v>
      </c>
      <c r="L79" s="114"/>
      <c r="M79" s="112">
        <v>3</v>
      </c>
      <c r="N79" s="112">
        <v>0</v>
      </c>
      <c r="O79" s="114"/>
      <c r="P79" s="112">
        <v>0</v>
      </c>
      <c r="Q79" s="112">
        <v>0</v>
      </c>
      <c r="R79" s="114"/>
      <c r="S79" s="112">
        <v>0</v>
      </c>
      <c r="T79" s="112">
        <v>0</v>
      </c>
      <c r="U79" s="114"/>
      <c r="V79" s="112">
        <v>0</v>
      </c>
      <c r="W79" s="112">
        <v>0</v>
      </c>
      <c r="X79" s="115"/>
      <c r="Y79" s="112">
        <v>0</v>
      </c>
      <c r="Z79" s="112">
        <v>0</v>
      </c>
      <c r="AA79" s="115"/>
      <c r="AB79" s="112">
        <v>0</v>
      </c>
      <c r="AC79" s="112">
        <v>3</v>
      </c>
      <c r="AD79" s="115"/>
      <c r="AE79" s="112">
        <v>3</v>
      </c>
      <c r="AF79" s="112"/>
      <c r="AG79" s="115"/>
      <c r="AH79" s="112">
        <v>3</v>
      </c>
      <c r="AI79" s="112">
        <v>0.3</v>
      </c>
      <c r="AJ79" s="115"/>
      <c r="AK79" s="112">
        <v>0</v>
      </c>
      <c r="AL79" s="112">
        <v>3</v>
      </c>
      <c r="AM79" s="115"/>
      <c r="AN79" s="112">
        <v>0</v>
      </c>
      <c r="AO79" s="112">
        <v>0</v>
      </c>
      <c r="AP79" s="115"/>
      <c r="AQ79" s="112">
        <v>0</v>
      </c>
      <c r="AR79" s="112">
        <v>0</v>
      </c>
      <c r="AS79" s="115"/>
      <c r="AT79" s="112">
        <v>0</v>
      </c>
      <c r="AU79" s="112">
        <v>0</v>
      </c>
      <c r="AV79" s="115"/>
      <c r="AW79" s="112">
        <v>0</v>
      </c>
      <c r="AX79" s="112">
        <v>0</v>
      </c>
      <c r="AY79" s="115"/>
      <c r="AZ79" s="112">
        <v>0</v>
      </c>
      <c r="BA79" s="112">
        <v>0</v>
      </c>
      <c r="BB79" s="115"/>
      <c r="BC79" s="112">
        <v>0</v>
      </c>
      <c r="BD79" s="112">
        <v>3</v>
      </c>
      <c r="BE79" s="115"/>
      <c r="BF79" s="112">
        <v>0</v>
      </c>
      <c r="BG79" s="112">
        <v>0</v>
      </c>
      <c r="BH79" s="115"/>
      <c r="BI79" s="112">
        <v>0</v>
      </c>
      <c r="BJ79" s="112">
        <v>0</v>
      </c>
      <c r="BK79" s="115"/>
      <c r="BL79" s="112">
        <v>0</v>
      </c>
      <c r="BM79" s="112">
        <v>0</v>
      </c>
      <c r="BN79" s="115"/>
      <c r="BO79" s="112">
        <v>0</v>
      </c>
      <c r="BP79" s="112">
        <v>0</v>
      </c>
      <c r="BQ79" s="115"/>
      <c r="BR79" s="112">
        <v>0</v>
      </c>
      <c r="BS79" s="112">
        <v>0</v>
      </c>
      <c r="BT79" s="115"/>
      <c r="BU79" s="112">
        <v>0</v>
      </c>
      <c r="BV79" s="112">
        <v>0</v>
      </c>
      <c r="BW79" s="115"/>
      <c r="BX79" s="112">
        <v>0</v>
      </c>
      <c r="BY79" s="112"/>
      <c r="BZ79" s="115"/>
      <c r="CA79" s="116">
        <v>0</v>
      </c>
      <c r="CB79" s="112"/>
      <c r="CC79" s="115"/>
      <c r="CD79" s="116">
        <v>0</v>
      </c>
      <c r="CE79" s="112"/>
      <c r="CF79" s="115"/>
      <c r="CG79" s="116">
        <v>0</v>
      </c>
      <c r="CH79" s="112"/>
      <c r="CI79" s="115"/>
      <c r="CJ79" s="116">
        <v>0</v>
      </c>
      <c r="CK79" s="112"/>
      <c r="CL79" s="115"/>
      <c r="CM79" s="116">
        <v>0</v>
      </c>
      <c r="CN79" s="112"/>
      <c r="CO79" s="115"/>
      <c r="CP79" s="92"/>
      <c r="CQ79" s="112"/>
    </row>
    <row r="80" spans="1:95" ht="12" x14ac:dyDescent="0.25">
      <c r="A80" s="111" t="s">
        <v>133</v>
      </c>
      <c r="B80" s="159"/>
      <c r="C80" s="112"/>
      <c r="D80" s="112">
        <v>0</v>
      </c>
      <c r="E80" s="112">
        <v>0</v>
      </c>
      <c r="F80" s="112"/>
      <c r="G80" s="112">
        <v>0</v>
      </c>
      <c r="H80" s="112"/>
      <c r="I80" s="112"/>
      <c r="J80" s="112">
        <v>0</v>
      </c>
      <c r="K80" s="112">
        <v>0</v>
      </c>
      <c r="L80" s="114"/>
      <c r="M80" s="112">
        <v>3</v>
      </c>
      <c r="N80" s="112">
        <v>0</v>
      </c>
      <c r="O80" s="114"/>
      <c r="P80" s="112">
        <v>0</v>
      </c>
      <c r="Q80" s="112">
        <v>0</v>
      </c>
      <c r="R80" s="114"/>
      <c r="S80" s="112">
        <v>0</v>
      </c>
      <c r="T80" s="112">
        <v>0</v>
      </c>
      <c r="U80" s="114"/>
      <c r="V80" s="112">
        <v>0</v>
      </c>
      <c r="W80" s="112">
        <v>0</v>
      </c>
      <c r="X80" s="115"/>
      <c r="Y80" s="112">
        <v>0</v>
      </c>
      <c r="Z80" s="112">
        <v>0</v>
      </c>
      <c r="AA80" s="115"/>
      <c r="AB80" s="112">
        <v>0</v>
      </c>
      <c r="AC80" s="112">
        <v>0</v>
      </c>
      <c r="AD80" s="115"/>
      <c r="AE80" s="112">
        <v>0</v>
      </c>
      <c r="AF80" s="112"/>
      <c r="AG80" s="115"/>
      <c r="AH80" s="112">
        <v>3</v>
      </c>
      <c r="AI80" s="112">
        <v>0.3</v>
      </c>
      <c r="AJ80" s="115"/>
      <c r="AK80" s="112">
        <v>0</v>
      </c>
      <c r="AL80" s="112">
        <v>3</v>
      </c>
      <c r="AM80" s="115"/>
      <c r="AN80" s="112">
        <v>0</v>
      </c>
      <c r="AO80" s="112">
        <v>0</v>
      </c>
      <c r="AP80" s="115"/>
      <c r="AQ80" s="112">
        <v>0</v>
      </c>
      <c r="AR80" s="112">
        <v>0</v>
      </c>
      <c r="AS80" s="115"/>
      <c r="AT80" s="112">
        <v>0</v>
      </c>
      <c r="AU80" s="112">
        <v>0</v>
      </c>
      <c r="AV80" s="115"/>
      <c r="AW80" s="112">
        <v>0</v>
      </c>
      <c r="AX80" s="112">
        <v>0</v>
      </c>
      <c r="AY80" s="115"/>
      <c r="AZ80" s="112">
        <v>0</v>
      </c>
      <c r="BA80" s="112">
        <v>0</v>
      </c>
      <c r="BB80" s="115"/>
      <c r="BC80" s="112">
        <v>0</v>
      </c>
      <c r="BD80" s="112">
        <v>3</v>
      </c>
      <c r="BE80" s="115"/>
      <c r="BF80" s="112">
        <v>0</v>
      </c>
      <c r="BG80" s="112">
        <v>0</v>
      </c>
      <c r="BH80" s="115"/>
      <c r="BI80" s="112">
        <v>0</v>
      </c>
      <c r="BJ80" s="112">
        <v>0</v>
      </c>
      <c r="BK80" s="115"/>
      <c r="BL80" s="112">
        <v>0</v>
      </c>
      <c r="BM80" s="112">
        <v>0</v>
      </c>
      <c r="BN80" s="115"/>
      <c r="BO80" s="112">
        <v>0</v>
      </c>
      <c r="BP80" s="112">
        <v>0</v>
      </c>
      <c r="BQ80" s="115"/>
      <c r="BR80" s="112">
        <v>0</v>
      </c>
      <c r="BS80" s="112">
        <v>0</v>
      </c>
      <c r="BT80" s="115"/>
      <c r="BU80" s="112">
        <v>0</v>
      </c>
      <c r="BV80" s="112">
        <v>0</v>
      </c>
      <c r="BW80" s="115"/>
      <c r="BX80" s="112">
        <v>0</v>
      </c>
      <c r="BY80" s="112"/>
      <c r="BZ80" s="115"/>
      <c r="CA80" s="116">
        <v>0</v>
      </c>
      <c r="CB80" s="112"/>
      <c r="CC80" s="115"/>
      <c r="CD80" s="116">
        <v>0</v>
      </c>
      <c r="CE80" s="112"/>
      <c r="CF80" s="115"/>
      <c r="CG80" s="116">
        <v>0</v>
      </c>
      <c r="CH80" s="112"/>
      <c r="CI80" s="115"/>
      <c r="CJ80" s="116">
        <v>0</v>
      </c>
      <c r="CK80" s="112"/>
      <c r="CL80" s="115"/>
      <c r="CM80" s="116">
        <v>0</v>
      </c>
      <c r="CN80" s="112"/>
      <c r="CO80" s="115"/>
      <c r="CP80" s="92"/>
      <c r="CQ80" s="112"/>
    </row>
    <row r="81" spans="1:95" ht="12" x14ac:dyDescent="0.25">
      <c r="A81" s="111" t="s">
        <v>134</v>
      </c>
      <c r="B81" s="159"/>
      <c r="C81" s="112"/>
      <c r="D81" s="112">
        <v>0</v>
      </c>
      <c r="E81" s="112">
        <v>0</v>
      </c>
      <c r="F81" s="112"/>
      <c r="G81" s="112">
        <v>0</v>
      </c>
      <c r="H81" s="112"/>
      <c r="I81" s="112"/>
      <c r="J81" s="112">
        <v>0</v>
      </c>
      <c r="K81" s="112">
        <v>0</v>
      </c>
      <c r="L81" s="114"/>
      <c r="M81" s="112">
        <v>3</v>
      </c>
      <c r="N81" s="112">
        <v>0</v>
      </c>
      <c r="O81" s="114"/>
      <c r="P81" s="112">
        <v>0</v>
      </c>
      <c r="Q81" s="112">
        <v>0</v>
      </c>
      <c r="R81" s="114"/>
      <c r="S81" s="112">
        <v>0</v>
      </c>
      <c r="T81" s="112">
        <v>0</v>
      </c>
      <c r="U81" s="114"/>
      <c r="V81" s="112">
        <v>0</v>
      </c>
      <c r="W81" s="112">
        <v>0</v>
      </c>
      <c r="X81" s="115"/>
      <c r="Y81" s="112">
        <v>0</v>
      </c>
      <c r="Z81" s="112">
        <v>3</v>
      </c>
      <c r="AA81" s="115"/>
      <c r="AB81" s="112">
        <v>0</v>
      </c>
      <c r="AC81" s="112">
        <v>3</v>
      </c>
      <c r="AD81" s="115"/>
      <c r="AE81" s="112">
        <v>0</v>
      </c>
      <c r="AF81" s="112"/>
      <c r="AG81" s="115"/>
      <c r="AH81" s="112">
        <v>3</v>
      </c>
      <c r="AI81" s="112">
        <v>0.3</v>
      </c>
      <c r="AJ81" s="115"/>
      <c r="AK81" s="112">
        <v>0</v>
      </c>
      <c r="AL81" s="112">
        <v>3</v>
      </c>
      <c r="AM81" s="115"/>
      <c r="AN81" s="112">
        <v>0</v>
      </c>
      <c r="AO81" s="112">
        <v>0</v>
      </c>
      <c r="AP81" s="115"/>
      <c r="AQ81" s="112">
        <v>0</v>
      </c>
      <c r="AR81" s="112">
        <v>0</v>
      </c>
      <c r="AS81" s="115"/>
      <c r="AT81" s="112">
        <v>0</v>
      </c>
      <c r="AU81" s="112">
        <v>0</v>
      </c>
      <c r="AV81" s="115"/>
      <c r="AW81" s="112">
        <v>0</v>
      </c>
      <c r="AX81" s="112">
        <v>0</v>
      </c>
      <c r="AY81" s="115"/>
      <c r="AZ81" s="112">
        <v>0</v>
      </c>
      <c r="BA81" s="112">
        <v>0</v>
      </c>
      <c r="BB81" s="115"/>
      <c r="BC81" s="112">
        <v>0</v>
      </c>
      <c r="BD81" s="112">
        <v>3</v>
      </c>
      <c r="BE81" s="115"/>
      <c r="BF81" s="112">
        <v>0</v>
      </c>
      <c r="BG81" s="112">
        <v>0</v>
      </c>
      <c r="BH81" s="115"/>
      <c r="BI81" s="112">
        <v>0</v>
      </c>
      <c r="BJ81" s="112">
        <v>0</v>
      </c>
      <c r="BK81" s="115"/>
      <c r="BL81" s="112">
        <v>0</v>
      </c>
      <c r="BM81" s="112">
        <v>0</v>
      </c>
      <c r="BN81" s="115"/>
      <c r="BO81" s="112">
        <v>0</v>
      </c>
      <c r="BP81" s="112">
        <v>0</v>
      </c>
      <c r="BQ81" s="115"/>
      <c r="BR81" s="112">
        <v>0</v>
      </c>
      <c r="BS81" s="112">
        <v>0</v>
      </c>
      <c r="BT81" s="115"/>
      <c r="BU81" s="112">
        <v>0</v>
      </c>
      <c r="BV81" s="112">
        <v>0</v>
      </c>
      <c r="BW81" s="115"/>
      <c r="BX81" s="112">
        <v>0</v>
      </c>
      <c r="BY81" s="112"/>
      <c r="BZ81" s="115"/>
      <c r="CA81" s="116">
        <v>0</v>
      </c>
      <c r="CB81" s="112"/>
      <c r="CC81" s="115"/>
      <c r="CD81" s="116">
        <v>0</v>
      </c>
      <c r="CE81" s="112"/>
      <c r="CF81" s="115"/>
      <c r="CG81" s="116">
        <v>0</v>
      </c>
      <c r="CH81" s="112"/>
      <c r="CI81" s="115"/>
      <c r="CJ81" s="116">
        <v>0</v>
      </c>
      <c r="CK81" s="112"/>
      <c r="CL81" s="115"/>
      <c r="CM81" s="116">
        <v>0</v>
      </c>
      <c r="CN81" s="112"/>
      <c r="CO81" s="115"/>
      <c r="CP81" s="92"/>
      <c r="CQ81" s="112"/>
    </row>
    <row r="82" spans="1:95" ht="12" x14ac:dyDescent="0.25">
      <c r="A82" s="111" t="s">
        <v>135</v>
      </c>
      <c r="B82" s="159"/>
      <c r="C82" s="112"/>
      <c r="D82" s="112">
        <v>0</v>
      </c>
      <c r="E82" s="112">
        <v>0</v>
      </c>
      <c r="F82" s="112"/>
      <c r="G82" s="112">
        <v>0</v>
      </c>
      <c r="H82" s="112"/>
      <c r="I82" s="112"/>
      <c r="J82" s="112">
        <v>0</v>
      </c>
      <c r="K82" s="112">
        <v>0</v>
      </c>
      <c r="L82" s="114"/>
      <c r="M82" s="112">
        <v>3</v>
      </c>
      <c r="N82" s="112">
        <v>0</v>
      </c>
      <c r="O82" s="114"/>
      <c r="P82" s="112">
        <v>0</v>
      </c>
      <c r="Q82" s="112">
        <v>0</v>
      </c>
      <c r="R82" s="114"/>
      <c r="S82" s="112">
        <v>0</v>
      </c>
      <c r="T82" s="112">
        <v>0</v>
      </c>
      <c r="U82" s="114"/>
      <c r="V82" s="112">
        <v>0</v>
      </c>
      <c r="W82" s="112">
        <v>0</v>
      </c>
      <c r="X82" s="115"/>
      <c r="Y82" s="112">
        <v>0</v>
      </c>
      <c r="Z82" s="112">
        <v>3</v>
      </c>
      <c r="AA82" s="115"/>
      <c r="AB82" s="112">
        <v>0</v>
      </c>
      <c r="AC82" s="112">
        <v>3</v>
      </c>
      <c r="AD82" s="115"/>
      <c r="AE82" s="112">
        <v>0</v>
      </c>
      <c r="AF82" s="112"/>
      <c r="AG82" s="115"/>
      <c r="AH82" s="112">
        <v>3</v>
      </c>
      <c r="AI82" s="112">
        <v>0.3</v>
      </c>
      <c r="AJ82" s="115"/>
      <c r="AK82" s="112">
        <v>0</v>
      </c>
      <c r="AL82" s="112">
        <v>3</v>
      </c>
      <c r="AM82" s="115"/>
      <c r="AN82" s="112">
        <v>0</v>
      </c>
      <c r="AO82" s="112">
        <v>0</v>
      </c>
      <c r="AP82" s="115"/>
      <c r="AQ82" s="112">
        <v>0</v>
      </c>
      <c r="AR82" s="112">
        <v>0</v>
      </c>
      <c r="AS82" s="115"/>
      <c r="AT82" s="112">
        <v>0</v>
      </c>
      <c r="AU82" s="112">
        <v>0</v>
      </c>
      <c r="AV82" s="115"/>
      <c r="AW82" s="112">
        <v>0</v>
      </c>
      <c r="AX82" s="112">
        <v>0</v>
      </c>
      <c r="AY82" s="115"/>
      <c r="AZ82" s="112">
        <v>0</v>
      </c>
      <c r="BA82" s="112">
        <v>0</v>
      </c>
      <c r="BB82" s="115"/>
      <c r="BC82" s="112">
        <v>0</v>
      </c>
      <c r="BD82" s="112">
        <v>3</v>
      </c>
      <c r="BE82" s="115"/>
      <c r="BF82" s="112">
        <v>0</v>
      </c>
      <c r="BG82" s="112">
        <v>0</v>
      </c>
      <c r="BH82" s="115"/>
      <c r="BI82" s="112">
        <v>0</v>
      </c>
      <c r="BJ82" s="112">
        <v>0</v>
      </c>
      <c r="BK82" s="115"/>
      <c r="BL82" s="112">
        <v>0</v>
      </c>
      <c r="BM82" s="112">
        <v>0</v>
      </c>
      <c r="BN82" s="115"/>
      <c r="BO82" s="112">
        <v>0</v>
      </c>
      <c r="BP82" s="112">
        <v>0</v>
      </c>
      <c r="BQ82" s="115"/>
      <c r="BR82" s="112">
        <v>0</v>
      </c>
      <c r="BS82" s="112">
        <v>0</v>
      </c>
      <c r="BT82" s="115"/>
      <c r="BU82" s="112">
        <v>0</v>
      </c>
      <c r="BV82" s="112">
        <v>0</v>
      </c>
      <c r="BW82" s="115"/>
      <c r="BX82" s="112">
        <v>0</v>
      </c>
      <c r="BY82" s="112"/>
      <c r="BZ82" s="115"/>
      <c r="CA82" s="116">
        <v>0</v>
      </c>
      <c r="CB82" s="112"/>
      <c r="CC82" s="115"/>
      <c r="CD82" s="116">
        <v>0</v>
      </c>
      <c r="CE82" s="112"/>
      <c r="CF82" s="115"/>
      <c r="CG82" s="116">
        <v>0</v>
      </c>
      <c r="CH82" s="112"/>
      <c r="CI82" s="115"/>
      <c r="CJ82" s="116">
        <v>0</v>
      </c>
      <c r="CK82" s="112"/>
      <c r="CL82" s="115"/>
      <c r="CM82" s="116">
        <v>0</v>
      </c>
      <c r="CN82" s="112"/>
      <c r="CO82" s="115"/>
      <c r="CP82" s="92"/>
      <c r="CQ82" s="112"/>
    </row>
    <row r="83" spans="1:95" ht="12" x14ac:dyDescent="0.25">
      <c r="A83" s="111" t="s">
        <v>136</v>
      </c>
      <c r="B83" s="159"/>
      <c r="C83" s="112"/>
      <c r="D83" s="112">
        <v>0</v>
      </c>
      <c r="E83" s="112">
        <v>0</v>
      </c>
      <c r="F83" s="112"/>
      <c r="G83" s="112">
        <v>0</v>
      </c>
      <c r="H83" s="112"/>
      <c r="I83" s="112"/>
      <c r="J83" s="112">
        <v>0</v>
      </c>
      <c r="K83" s="112">
        <v>0</v>
      </c>
      <c r="L83" s="114"/>
      <c r="M83" s="112">
        <v>0</v>
      </c>
      <c r="N83" s="112">
        <v>3</v>
      </c>
      <c r="O83" s="114"/>
      <c r="P83" s="112">
        <v>0</v>
      </c>
      <c r="Q83" s="112">
        <v>3</v>
      </c>
      <c r="R83" s="114"/>
      <c r="S83" s="112">
        <v>0</v>
      </c>
      <c r="T83" s="112">
        <v>3</v>
      </c>
      <c r="U83" s="114"/>
      <c r="V83" s="112">
        <v>0</v>
      </c>
      <c r="W83" s="112">
        <v>0</v>
      </c>
      <c r="X83" s="115"/>
      <c r="Y83" s="112">
        <v>0</v>
      </c>
      <c r="Z83" s="112">
        <v>3</v>
      </c>
      <c r="AA83" s="115"/>
      <c r="AB83" s="112">
        <v>0</v>
      </c>
      <c r="AC83" s="112">
        <v>3</v>
      </c>
      <c r="AD83" s="115"/>
      <c r="AE83" s="112">
        <v>0</v>
      </c>
      <c r="AF83" s="112"/>
      <c r="AG83" s="115"/>
      <c r="AH83" s="112">
        <v>3</v>
      </c>
      <c r="AI83" s="112">
        <v>0.3</v>
      </c>
      <c r="AJ83" s="115"/>
      <c r="AK83" s="112">
        <v>3</v>
      </c>
      <c r="AL83" s="112">
        <v>0</v>
      </c>
      <c r="AM83" s="115"/>
      <c r="AN83" s="112">
        <v>0</v>
      </c>
      <c r="AO83" s="112">
        <v>0</v>
      </c>
      <c r="AP83" s="115"/>
      <c r="AQ83" s="112">
        <v>0</v>
      </c>
      <c r="AR83" s="112">
        <v>0</v>
      </c>
      <c r="AS83" s="115"/>
      <c r="AT83" s="112">
        <v>0</v>
      </c>
      <c r="AU83" s="112">
        <v>0</v>
      </c>
      <c r="AV83" s="115"/>
      <c r="AW83" s="112">
        <v>0</v>
      </c>
      <c r="AX83" s="112">
        <v>0</v>
      </c>
      <c r="AY83" s="115"/>
      <c r="AZ83" s="112">
        <v>0</v>
      </c>
      <c r="BA83" s="112">
        <v>0</v>
      </c>
      <c r="BB83" s="115"/>
      <c r="BC83" s="112">
        <v>0</v>
      </c>
      <c r="BD83" s="112">
        <v>3</v>
      </c>
      <c r="BE83" s="115"/>
      <c r="BF83" s="112">
        <v>0</v>
      </c>
      <c r="BG83" s="112">
        <v>0</v>
      </c>
      <c r="BH83" s="115"/>
      <c r="BI83" s="112">
        <v>0</v>
      </c>
      <c r="BJ83" s="112">
        <v>0</v>
      </c>
      <c r="BK83" s="115"/>
      <c r="BL83" s="112">
        <v>0</v>
      </c>
      <c r="BM83" s="112">
        <v>0</v>
      </c>
      <c r="BN83" s="115"/>
      <c r="BO83" s="112">
        <v>0</v>
      </c>
      <c r="BP83" s="112">
        <v>0</v>
      </c>
      <c r="BQ83" s="115"/>
      <c r="BR83" s="112">
        <v>0</v>
      </c>
      <c r="BS83" s="112">
        <v>0</v>
      </c>
      <c r="BT83" s="115"/>
      <c r="BU83" s="112">
        <v>0</v>
      </c>
      <c r="BV83" s="112">
        <v>0</v>
      </c>
      <c r="BW83" s="115"/>
      <c r="BX83" s="112">
        <v>0</v>
      </c>
      <c r="BY83" s="112"/>
      <c r="BZ83" s="115"/>
      <c r="CA83" s="116">
        <v>0</v>
      </c>
      <c r="CB83" s="112"/>
      <c r="CC83" s="115"/>
      <c r="CD83" s="116">
        <v>0</v>
      </c>
      <c r="CE83" s="112"/>
      <c r="CF83" s="115"/>
      <c r="CG83" s="116">
        <v>0</v>
      </c>
      <c r="CH83" s="112"/>
      <c r="CI83" s="115"/>
      <c r="CJ83" s="116">
        <v>0</v>
      </c>
      <c r="CK83" s="112"/>
      <c r="CL83" s="115"/>
      <c r="CM83" s="116">
        <v>0</v>
      </c>
      <c r="CN83" s="112"/>
      <c r="CO83" s="115"/>
      <c r="CP83" s="92"/>
      <c r="CQ83" s="112"/>
    </row>
    <row r="84" spans="1:95" ht="12" x14ac:dyDescent="0.25">
      <c r="A84" s="111" t="s">
        <v>137</v>
      </c>
      <c r="B84" s="159"/>
      <c r="C84" s="112"/>
      <c r="D84" s="112">
        <v>0</v>
      </c>
      <c r="E84" s="112">
        <v>0</v>
      </c>
      <c r="F84" s="112"/>
      <c r="G84" s="112">
        <v>0</v>
      </c>
      <c r="H84" s="112"/>
      <c r="I84" s="112"/>
      <c r="J84" s="112">
        <v>0</v>
      </c>
      <c r="K84" s="112">
        <v>0</v>
      </c>
      <c r="L84" s="114"/>
      <c r="M84" s="112">
        <v>0</v>
      </c>
      <c r="N84" s="112">
        <v>3</v>
      </c>
      <c r="O84" s="114"/>
      <c r="P84" s="112">
        <v>0</v>
      </c>
      <c r="Q84" s="112">
        <v>0</v>
      </c>
      <c r="R84" s="114"/>
      <c r="S84" s="112">
        <v>0</v>
      </c>
      <c r="T84" s="112">
        <v>3</v>
      </c>
      <c r="U84" s="114"/>
      <c r="V84" s="112">
        <v>0</v>
      </c>
      <c r="W84" s="112">
        <v>0</v>
      </c>
      <c r="X84" s="115"/>
      <c r="Y84" s="112">
        <v>0</v>
      </c>
      <c r="Z84" s="112">
        <v>3</v>
      </c>
      <c r="AA84" s="115"/>
      <c r="AB84" s="112">
        <v>0</v>
      </c>
      <c r="AC84" s="112">
        <v>3</v>
      </c>
      <c r="AD84" s="115"/>
      <c r="AE84" s="112">
        <v>3</v>
      </c>
      <c r="AF84" s="112"/>
      <c r="AG84" s="115"/>
      <c r="AH84" s="112">
        <v>3</v>
      </c>
      <c r="AI84" s="112">
        <v>0.3</v>
      </c>
      <c r="AJ84" s="115"/>
      <c r="AK84" s="112">
        <v>3</v>
      </c>
      <c r="AL84" s="112">
        <v>0</v>
      </c>
      <c r="AM84" s="115"/>
      <c r="AN84" s="112">
        <v>2.5</v>
      </c>
      <c r="AO84" s="112">
        <v>0</v>
      </c>
      <c r="AP84" s="115"/>
      <c r="AQ84" s="112">
        <v>2.5</v>
      </c>
      <c r="AR84" s="112">
        <v>0</v>
      </c>
      <c r="AS84" s="115"/>
      <c r="AT84" s="112">
        <v>0</v>
      </c>
      <c r="AU84" s="112">
        <v>0</v>
      </c>
      <c r="AV84" s="115"/>
      <c r="AW84" s="112">
        <v>0</v>
      </c>
      <c r="AX84" s="112">
        <v>0</v>
      </c>
      <c r="AY84" s="115"/>
      <c r="AZ84" s="112">
        <v>0</v>
      </c>
      <c r="BA84" s="112">
        <v>0</v>
      </c>
      <c r="BB84" s="115"/>
      <c r="BC84" s="112">
        <v>0</v>
      </c>
      <c r="BD84" s="112">
        <v>0</v>
      </c>
      <c r="BE84" s="115"/>
      <c r="BF84" s="112">
        <v>0</v>
      </c>
      <c r="BG84" s="112">
        <v>0</v>
      </c>
      <c r="BH84" s="115"/>
      <c r="BI84" s="112">
        <v>0</v>
      </c>
      <c r="BJ84" s="112">
        <v>0</v>
      </c>
      <c r="BK84" s="115"/>
      <c r="BL84" s="112">
        <v>0</v>
      </c>
      <c r="BM84" s="112">
        <v>0</v>
      </c>
      <c r="BN84" s="115"/>
      <c r="BO84" s="112">
        <v>0</v>
      </c>
      <c r="BP84" s="112">
        <v>0</v>
      </c>
      <c r="BQ84" s="115"/>
      <c r="BR84" s="112">
        <v>0</v>
      </c>
      <c r="BS84" s="112">
        <v>0</v>
      </c>
      <c r="BT84" s="115"/>
      <c r="BU84" s="112">
        <v>0</v>
      </c>
      <c r="BV84" s="112">
        <v>0</v>
      </c>
      <c r="BW84" s="115"/>
      <c r="BX84" s="112">
        <v>0</v>
      </c>
      <c r="BY84" s="112"/>
      <c r="BZ84" s="115"/>
      <c r="CA84" s="116">
        <v>0</v>
      </c>
      <c r="CB84" s="112"/>
      <c r="CC84" s="115"/>
      <c r="CD84" s="116">
        <v>0</v>
      </c>
      <c r="CE84" s="112"/>
      <c r="CF84" s="115"/>
      <c r="CG84" s="116">
        <v>0</v>
      </c>
      <c r="CH84" s="112"/>
      <c r="CI84" s="115"/>
      <c r="CJ84" s="116">
        <v>0</v>
      </c>
      <c r="CK84" s="112"/>
      <c r="CL84" s="115"/>
      <c r="CM84" s="116">
        <v>0</v>
      </c>
      <c r="CN84" s="112"/>
      <c r="CO84" s="115"/>
      <c r="CP84" s="92"/>
      <c r="CQ84" s="112"/>
    </row>
    <row r="85" spans="1:95" ht="12" x14ac:dyDescent="0.25">
      <c r="A85" s="111" t="s">
        <v>138</v>
      </c>
      <c r="B85" s="159"/>
      <c r="C85" s="112"/>
      <c r="D85" s="112">
        <v>0</v>
      </c>
      <c r="E85" s="112">
        <v>3</v>
      </c>
      <c r="F85" s="112"/>
      <c r="G85" s="112">
        <v>0</v>
      </c>
      <c r="H85" s="112"/>
      <c r="I85" s="112"/>
      <c r="J85" s="112">
        <v>0</v>
      </c>
      <c r="K85" s="112">
        <v>3</v>
      </c>
      <c r="L85" s="114"/>
      <c r="M85" s="112">
        <v>0</v>
      </c>
      <c r="N85" s="112">
        <v>3</v>
      </c>
      <c r="O85" s="114"/>
      <c r="P85" s="112">
        <v>0</v>
      </c>
      <c r="Q85" s="112">
        <v>3</v>
      </c>
      <c r="R85" s="114"/>
      <c r="S85" s="112">
        <v>0</v>
      </c>
      <c r="T85" s="112">
        <v>3</v>
      </c>
      <c r="U85" s="114"/>
      <c r="V85" s="112">
        <v>0</v>
      </c>
      <c r="W85" s="112">
        <v>3</v>
      </c>
      <c r="X85" s="115"/>
      <c r="Y85" s="112">
        <v>0</v>
      </c>
      <c r="Z85" s="112">
        <v>3</v>
      </c>
      <c r="AA85" s="115"/>
      <c r="AB85" s="112">
        <v>3</v>
      </c>
      <c r="AC85" s="112">
        <v>0</v>
      </c>
      <c r="AD85" s="115"/>
      <c r="AE85" s="112">
        <v>3</v>
      </c>
      <c r="AF85" s="112"/>
      <c r="AG85" s="115"/>
      <c r="AH85" s="112">
        <v>3</v>
      </c>
      <c r="AI85" s="112">
        <v>0.3</v>
      </c>
      <c r="AJ85" s="115"/>
      <c r="AK85" s="112">
        <v>3</v>
      </c>
      <c r="AL85" s="112">
        <v>0</v>
      </c>
      <c r="AM85" s="115"/>
      <c r="AN85" s="112">
        <v>2.5</v>
      </c>
      <c r="AO85" s="112">
        <v>0.5</v>
      </c>
      <c r="AP85" s="115"/>
      <c r="AQ85" s="112">
        <v>2.5</v>
      </c>
      <c r="AR85" s="112">
        <v>0.5</v>
      </c>
      <c r="AS85" s="115"/>
      <c r="AT85" s="112">
        <v>2.5</v>
      </c>
      <c r="AU85" s="112">
        <v>0</v>
      </c>
      <c r="AV85" s="115"/>
      <c r="AW85" s="112">
        <v>0</v>
      </c>
      <c r="AX85" s="112">
        <v>0</v>
      </c>
      <c r="AY85" s="115"/>
      <c r="AZ85" s="112">
        <v>0</v>
      </c>
      <c r="BA85" s="112">
        <v>0</v>
      </c>
      <c r="BB85" s="115"/>
      <c r="BC85" s="112">
        <v>2.5</v>
      </c>
      <c r="BD85" s="112">
        <v>0</v>
      </c>
      <c r="BE85" s="115"/>
      <c r="BF85" s="112">
        <v>0</v>
      </c>
      <c r="BG85" s="112">
        <v>0</v>
      </c>
      <c r="BH85" s="115"/>
      <c r="BI85" s="112">
        <v>0</v>
      </c>
      <c r="BJ85" s="112">
        <v>0</v>
      </c>
      <c r="BK85" s="115"/>
      <c r="BL85" s="112">
        <v>0</v>
      </c>
      <c r="BM85" s="112">
        <v>0</v>
      </c>
      <c r="BN85" s="115"/>
      <c r="BO85" s="112">
        <v>0</v>
      </c>
      <c r="BP85" s="112">
        <v>0</v>
      </c>
      <c r="BQ85" s="115"/>
      <c r="BR85" s="112">
        <v>0</v>
      </c>
      <c r="BS85" s="112">
        <v>0</v>
      </c>
      <c r="BT85" s="115"/>
      <c r="BU85" s="112">
        <v>0</v>
      </c>
      <c r="BV85" s="112">
        <v>0</v>
      </c>
      <c r="BW85" s="115"/>
      <c r="BX85" s="112">
        <v>0</v>
      </c>
      <c r="BY85" s="112"/>
      <c r="BZ85" s="115"/>
      <c r="CA85" s="116">
        <v>0</v>
      </c>
      <c r="CB85" s="112"/>
      <c r="CC85" s="115"/>
      <c r="CD85" s="116">
        <v>0</v>
      </c>
      <c r="CE85" s="112"/>
      <c r="CF85" s="115"/>
      <c r="CG85" s="116">
        <v>0</v>
      </c>
      <c r="CH85" s="112"/>
      <c r="CI85" s="115"/>
      <c r="CJ85" s="116">
        <v>0</v>
      </c>
      <c r="CK85" s="112"/>
      <c r="CL85" s="115"/>
      <c r="CM85" s="116">
        <v>0</v>
      </c>
      <c r="CN85" s="112"/>
      <c r="CO85" s="115"/>
      <c r="CP85" s="92"/>
      <c r="CQ85" s="112"/>
    </row>
    <row r="86" spans="1:95" ht="12" x14ac:dyDescent="0.25">
      <c r="A86" s="111" t="s">
        <v>139</v>
      </c>
      <c r="B86" s="159"/>
      <c r="C86" s="112"/>
      <c r="D86" s="112">
        <v>0</v>
      </c>
      <c r="E86" s="112">
        <v>3</v>
      </c>
      <c r="F86" s="112"/>
      <c r="G86" s="112">
        <v>0</v>
      </c>
      <c r="H86" s="112"/>
      <c r="I86" s="112"/>
      <c r="J86" s="112">
        <v>0</v>
      </c>
      <c r="K86" s="112">
        <v>3</v>
      </c>
      <c r="L86" s="114"/>
      <c r="M86" s="112">
        <v>0</v>
      </c>
      <c r="N86" s="112">
        <v>3</v>
      </c>
      <c r="O86" s="114"/>
      <c r="P86" s="112">
        <v>0</v>
      </c>
      <c r="Q86" s="112">
        <v>3</v>
      </c>
      <c r="R86" s="114"/>
      <c r="S86" s="112">
        <v>3</v>
      </c>
      <c r="T86" s="112">
        <v>0</v>
      </c>
      <c r="U86" s="114"/>
      <c r="V86" s="112">
        <v>0</v>
      </c>
      <c r="W86" s="112">
        <v>3</v>
      </c>
      <c r="X86" s="115"/>
      <c r="Y86" s="112">
        <v>3</v>
      </c>
      <c r="Z86" s="112">
        <v>0</v>
      </c>
      <c r="AA86" s="115"/>
      <c r="AB86" s="112">
        <v>3</v>
      </c>
      <c r="AC86" s="112">
        <v>0</v>
      </c>
      <c r="AD86" s="115"/>
      <c r="AE86" s="112">
        <v>3</v>
      </c>
      <c r="AF86" s="112"/>
      <c r="AG86" s="115"/>
      <c r="AH86" s="112">
        <v>3</v>
      </c>
      <c r="AI86" s="112">
        <v>0.3</v>
      </c>
      <c r="AJ86" s="115"/>
      <c r="AK86" s="112">
        <v>3</v>
      </c>
      <c r="AL86" s="112">
        <v>0</v>
      </c>
      <c r="AM86" s="115"/>
      <c r="AN86" s="112">
        <v>2.5</v>
      </c>
      <c r="AO86" s="112">
        <v>0.5</v>
      </c>
      <c r="AP86" s="115"/>
      <c r="AQ86" s="112">
        <v>2.5</v>
      </c>
      <c r="AR86" s="112">
        <v>0.5</v>
      </c>
      <c r="AS86" s="115"/>
      <c r="AT86" s="112">
        <v>2.5</v>
      </c>
      <c r="AU86" s="112">
        <v>0</v>
      </c>
      <c r="AV86" s="115"/>
      <c r="AW86" s="112">
        <v>0</v>
      </c>
      <c r="AX86" s="112">
        <v>0</v>
      </c>
      <c r="AY86" s="115"/>
      <c r="AZ86" s="112">
        <v>0</v>
      </c>
      <c r="BA86" s="112">
        <v>0</v>
      </c>
      <c r="BB86" s="115"/>
      <c r="BC86" s="112">
        <v>2.5</v>
      </c>
      <c r="BD86" s="112">
        <v>0</v>
      </c>
      <c r="BE86" s="115"/>
      <c r="BF86" s="112">
        <v>0</v>
      </c>
      <c r="BG86" s="112">
        <v>0</v>
      </c>
      <c r="BH86" s="115"/>
      <c r="BI86" s="112">
        <v>0</v>
      </c>
      <c r="BJ86" s="112">
        <v>0</v>
      </c>
      <c r="BK86" s="115"/>
      <c r="BL86" s="112">
        <v>0</v>
      </c>
      <c r="BM86" s="112">
        <v>1.1000000000000001</v>
      </c>
      <c r="BN86" s="115"/>
      <c r="BO86" s="112">
        <v>0</v>
      </c>
      <c r="BP86" s="112">
        <v>1.1000000000000001</v>
      </c>
      <c r="BQ86" s="115"/>
      <c r="BR86" s="112">
        <v>0</v>
      </c>
      <c r="BS86" s="112">
        <v>0</v>
      </c>
      <c r="BT86" s="115"/>
      <c r="BU86" s="112">
        <v>0</v>
      </c>
      <c r="BV86" s="112">
        <v>0</v>
      </c>
      <c r="BW86" s="115"/>
      <c r="BX86" s="112">
        <v>0</v>
      </c>
      <c r="BY86" s="112"/>
      <c r="BZ86" s="115"/>
      <c r="CA86" s="116">
        <v>0</v>
      </c>
      <c r="CB86" s="112"/>
      <c r="CC86" s="115"/>
      <c r="CD86" s="116">
        <v>0</v>
      </c>
      <c r="CE86" s="112"/>
      <c r="CF86" s="115"/>
      <c r="CG86" s="116">
        <v>0</v>
      </c>
      <c r="CH86" s="112"/>
      <c r="CI86" s="115"/>
      <c r="CJ86" s="116">
        <v>0</v>
      </c>
      <c r="CK86" s="112"/>
      <c r="CL86" s="115"/>
      <c r="CM86" s="116">
        <v>0</v>
      </c>
      <c r="CN86" s="112"/>
      <c r="CO86" s="115"/>
      <c r="CP86" s="92"/>
      <c r="CQ86" s="112"/>
    </row>
    <row r="87" spans="1:95" ht="12" x14ac:dyDescent="0.25">
      <c r="A87" s="111" t="s">
        <v>140</v>
      </c>
      <c r="B87" s="159"/>
      <c r="C87" s="112"/>
      <c r="D87" s="112">
        <v>3</v>
      </c>
      <c r="E87" s="112">
        <v>0</v>
      </c>
      <c r="F87" s="112"/>
      <c r="G87" s="112">
        <v>3</v>
      </c>
      <c r="H87" s="112"/>
      <c r="I87" s="112"/>
      <c r="J87" s="112">
        <v>3</v>
      </c>
      <c r="K87" s="112">
        <v>0</v>
      </c>
      <c r="L87" s="114"/>
      <c r="M87" s="112">
        <v>3</v>
      </c>
      <c r="N87" s="112">
        <v>0</v>
      </c>
      <c r="O87" s="114"/>
      <c r="P87" s="112">
        <v>0</v>
      </c>
      <c r="Q87" s="112">
        <v>3</v>
      </c>
      <c r="R87" s="114"/>
      <c r="S87" s="112">
        <v>3</v>
      </c>
      <c r="T87" s="112">
        <v>0</v>
      </c>
      <c r="U87" s="114"/>
      <c r="V87" s="112">
        <v>0</v>
      </c>
      <c r="W87" s="112">
        <v>3</v>
      </c>
      <c r="X87" s="115"/>
      <c r="Y87" s="112">
        <v>3</v>
      </c>
      <c r="Z87" s="112">
        <v>0</v>
      </c>
      <c r="AA87" s="115"/>
      <c r="AB87" s="112">
        <v>3</v>
      </c>
      <c r="AC87" s="112">
        <v>0</v>
      </c>
      <c r="AD87" s="115"/>
      <c r="AE87" s="112">
        <v>3</v>
      </c>
      <c r="AF87" s="112"/>
      <c r="AG87" s="115"/>
      <c r="AH87" s="112">
        <v>3</v>
      </c>
      <c r="AI87" s="112">
        <v>0.3</v>
      </c>
      <c r="AJ87" s="115"/>
      <c r="AK87" s="112">
        <v>3</v>
      </c>
      <c r="AL87" s="112">
        <v>0</v>
      </c>
      <c r="AM87" s="115"/>
      <c r="AN87" s="112">
        <v>2.5</v>
      </c>
      <c r="AO87" s="112">
        <v>0.5</v>
      </c>
      <c r="AP87" s="115"/>
      <c r="AQ87" s="112">
        <v>2.5</v>
      </c>
      <c r="AR87" s="112">
        <v>0</v>
      </c>
      <c r="AS87" s="115"/>
      <c r="AT87" s="112">
        <v>2.5</v>
      </c>
      <c r="AU87" s="112">
        <v>0</v>
      </c>
      <c r="AV87" s="115"/>
      <c r="AW87" s="112">
        <v>0</v>
      </c>
      <c r="AX87" s="112">
        <v>0</v>
      </c>
      <c r="AY87" s="115"/>
      <c r="AZ87" s="112">
        <v>0</v>
      </c>
      <c r="BA87" s="112">
        <v>0</v>
      </c>
      <c r="BB87" s="115"/>
      <c r="BC87" s="112">
        <v>2.5</v>
      </c>
      <c r="BD87" s="112">
        <v>0</v>
      </c>
      <c r="BE87" s="115"/>
      <c r="BF87" s="112">
        <v>0</v>
      </c>
      <c r="BG87" s="112">
        <v>0</v>
      </c>
      <c r="BH87" s="115"/>
      <c r="BI87" s="112">
        <v>0</v>
      </c>
      <c r="BJ87" s="112">
        <v>0</v>
      </c>
      <c r="BK87" s="115"/>
      <c r="BL87" s="112">
        <v>2.5</v>
      </c>
      <c r="BM87" s="112">
        <v>0.6</v>
      </c>
      <c r="BN87" s="115"/>
      <c r="BO87" s="112">
        <v>2.5</v>
      </c>
      <c r="BP87" s="112">
        <v>0.6</v>
      </c>
      <c r="BQ87" s="115"/>
      <c r="BR87" s="112">
        <v>0</v>
      </c>
      <c r="BS87" s="112">
        <v>3</v>
      </c>
      <c r="BT87" s="115"/>
      <c r="BU87" s="112">
        <v>0</v>
      </c>
      <c r="BV87" s="112">
        <v>0</v>
      </c>
      <c r="BW87" s="115"/>
      <c r="BX87" s="112">
        <v>2.5</v>
      </c>
      <c r="BY87" s="112"/>
      <c r="BZ87" s="115"/>
      <c r="CA87" s="116">
        <v>0</v>
      </c>
      <c r="CB87" s="112"/>
      <c r="CC87" s="115"/>
      <c r="CD87" s="116">
        <v>0</v>
      </c>
      <c r="CE87" s="112"/>
      <c r="CF87" s="115"/>
      <c r="CG87" s="116">
        <v>2.5</v>
      </c>
      <c r="CH87" s="112"/>
      <c r="CI87" s="115"/>
      <c r="CJ87" s="116">
        <v>0</v>
      </c>
      <c r="CK87" s="112"/>
      <c r="CL87" s="115"/>
      <c r="CM87" s="116">
        <v>2.5</v>
      </c>
      <c r="CN87" s="112"/>
      <c r="CO87" s="115"/>
      <c r="CP87" s="92"/>
      <c r="CQ87" s="112"/>
    </row>
    <row r="88" spans="1:95" ht="12" x14ac:dyDescent="0.25">
      <c r="A88" s="111" t="s">
        <v>141</v>
      </c>
      <c r="B88" s="159"/>
      <c r="C88" s="112"/>
      <c r="D88" s="112">
        <v>3</v>
      </c>
      <c r="E88" s="112">
        <v>0</v>
      </c>
      <c r="F88" s="112"/>
      <c r="G88" s="112">
        <v>3</v>
      </c>
      <c r="H88" s="112"/>
      <c r="I88" s="112"/>
      <c r="J88" s="112">
        <v>0</v>
      </c>
      <c r="K88" s="112">
        <v>3</v>
      </c>
      <c r="L88" s="114"/>
      <c r="M88" s="112">
        <v>3</v>
      </c>
      <c r="N88" s="112">
        <v>0</v>
      </c>
      <c r="O88" s="114"/>
      <c r="P88" s="112">
        <v>0</v>
      </c>
      <c r="Q88" s="112">
        <v>3</v>
      </c>
      <c r="R88" s="114"/>
      <c r="S88" s="112">
        <v>3</v>
      </c>
      <c r="T88" s="112">
        <v>0</v>
      </c>
      <c r="U88" s="114"/>
      <c r="V88" s="112">
        <v>0</v>
      </c>
      <c r="W88" s="112">
        <v>3</v>
      </c>
      <c r="X88" s="115"/>
      <c r="Y88" s="112">
        <v>3</v>
      </c>
      <c r="Z88" s="112">
        <v>0</v>
      </c>
      <c r="AA88" s="115"/>
      <c r="AB88" s="112">
        <v>3</v>
      </c>
      <c r="AC88" s="112">
        <v>0</v>
      </c>
      <c r="AD88" s="115"/>
      <c r="AE88" s="112">
        <v>3</v>
      </c>
      <c r="AF88" s="112"/>
      <c r="AG88" s="115"/>
      <c r="AH88" s="112">
        <v>3</v>
      </c>
      <c r="AI88" s="112">
        <v>0.3</v>
      </c>
      <c r="AJ88" s="115"/>
      <c r="AK88" s="112">
        <v>3</v>
      </c>
      <c r="AL88" s="112">
        <v>0</v>
      </c>
      <c r="AM88" s="115"/>
      <c r="AN88" s="112">
        <v>2.5</v>
      </c>
      <c r="AO88" s="112">
        <v>0.5</v>
      </c>
      <c r="AP88" s="115"/>
      <c r="AQ88" s="112">
        <v>2.5</v>
      </c>
      <c r="AR88" s="112">
        <v>0</v>
      </c>
      <c r="AS88" s="115"/>
      <c r="AT88" s="112">
        <v>2.5</v>
      </c>
      <c r="AU88" s="112">
        <v>0</v>
      </c>
      <c r="AV88" s="115"/>
      <c r="AW88" s="112">
        <v>0</v>
      </c>
      <c r="AX88" s="112">
        <v>0</v>
      </c>
      <c r="AY88" s="115"/>
      <c r="AZ88" s="112">
        <v>2.5</v>
      </c>
      <c r="BA88" s="112">
        <v>0</v>
      </c>
      <c r="BB88" s="115"/>
      <c r="BC88" s="112">
        <v>2.5</v>
      </c>
      <c r="BD88" s="112">
        <v>0</v>
      </c>
      <c r="BE88" s="115"/>
      <c r="BF88" s="112">
        <v>0</v>
      </c>
      <c r="BG88" s="112">
        <v>3</v>
      </c>
      <c r="BH88" s="115"/>
      <c r="BI88" s="112">
        <v>0</v>
      </c>
      <c r="BJ88" s="112">
        <v>0</v>
      </c>
      <c r="BK88" s="115"/>
      <c r="BL88" s="112">
        <v>2.5</v>
      </c>
      <c r="BM88" s="112">
        <v>0.6</v>
      </c>
      <c r="BN88" s="115"/>
      <c r="BO88" s="112">
        <v>0</v>
      </c>
      <c r="BP88" s="112">
        <v>0.6</v>
      </c>
      <c r="BQ88" s="115"/>
      <c r="BR88" s="112">
        <v>2.5</v>
      </c>
      <c r="BS88" s="112">
        <v>0.5</v>
      </c>
      <c r="BT88" s="115"/>
      <c r="BU88" s="112">
        <v>2.5</v>
      </c>
      <c r="BV88" s="112">
        <v>0</v>
      </c>
      <c r="BW88" s="115"/>
      <c r="BX88" s="112">
        <v>2.5</v>
      </c>
      <c r="BY88" s="112"/>
      <c r="BZ88" s="115"/>
      <c r="CA88" s="116">
        <v>0</v>
      </c>
      <c r="CB88" s="112"/>
      <c r="CC88" s="115"/>
      <c r="CD88" s="116">
        <v>0</v>
      </c>
      <c r="CE88" s="112"/>
      <c r="CF88" s="115"/>
      <c r="CG88" s="116">
        <v>2.5</v>
      </c>
      <c r="CH88" s="112"/>
      <c r="CI88" s="115"/>
      <c r="CJ88" s="116">
        <v>0</v>
      </c>
      <c r="CK88" s="112"/>
      <c r="CL88" s="115"/>
      <c r="CM88" s="116">
        <v>2.5</v>
      </c>
      <c r="CN88" s="112"/>
      <c r="CO88" s="115"/>
      <c r="CP88" s="92"/>
      <c r="CQ88" s="112"/>
    </row>
    <row r="89" spans="1:95" ht="12" x14ac:dyDescent="0.25">
      <c r="A89" s="111" t="s">
        <v>142</v>
      </c>
      <c r="B89" s="159"/>
      <c r="C89" s="112"/>
      <c r="D89" s="112">
        <v>0</v>
      </c>
      <c r="E89" s="112">
        <v>3</v>
      </c>
      <c r="F89" s="112"/>
      <c r="G89" s="112">
        <v>3</v>
      </c>
      <c r="H89" s="112"/>
      <c r="I89" s="112"/>
      <c r="J89" s="112">
        <v>0</v>
      </c>
      <c r="K89" s="112">
        <v>3</v>
      </c>
      <c r="L89" s="114"/>
      <c r="M89" s="112">
        <v>3</v>
      </c>
      <c r="N89" s="112">
        <v>0</v>
      </c>
      <c r="O89" s="114"/>
      <c r="P89" s="112">
        <v>3</v>
      </c>
      <c r="Q89" s="112">
        <v>0</v>
      </c>
      <c r="R89" s="114"/>
      <c r="S89" s="112">
        <v>3</v>
      </c>
      <c r="T89" s="112">
        <v>0</v>
      </c>
      <c r="U89" s="114"/>
      <c r="V89" s="112">
        <v>0</v>
      </c>
      <c r="W89" s="112">
        <v>3</v>
      </c>
      <c r="X89" s="115"/>
      <c r="Y89" s="112">
        <v>3</v>
      </c>
      <c r="Z89" s="112">
        <v>0</v>
      </c>
      <c r="AA89" s="115"/>
      <c r="AB89" s="112">
        <v>3</v>
      </c>
      <c r="AC89" s="112">
        <v>0</v>
      </c>
      <c r="AD89" s="115"/>
      <c r="AE89" s="112">
        <v>3</v>
      </c>
      <c r="AF89" s="112"/>
      <c r="AG89" s="115"/>
      <c r="AH89" s="112">
        <v>3</v>
      </c>
      <c r="AI89" s="112">
        <v>0.3</v>
      </c>
      <c r="AJ89" s="115"/>
      <c r="AK89" s="112">
        <v>3</v>
      </c>
      <c r="AL89" s="112">
        <v>0</v>
      </c>
      <c r="AM89" s="115"/>
      <c r="AN89" s="112">
        <v>2.5</v>
      </c>
      <c r="AO89" s="112">
        <v>0.5</v>
      </c>
      <c r="AP89" s="115"/>
      <c r="AQ89" s="112">
        <v>2.5</v>
      </c>
      <c r="AR89" s="112">
        <v>0.5</v>
      </c>
      <c r="AS89" s="115"/>
      <c r="AT89" s="112">
        <v>2.5</v>
      </c>
      <c r="AU89" s="112">
        <v>0.13</v>
      </c>
      <c r="AV89" s="115"/>
      <c r="AW89" s="112">
        <v>2.5</v>
      </c>
      <c r="AX89" s="112">
        <v>0</v>
      </c>
      <c r="AY89" s="115"/>
      <c r="AZ89" s="112">
        <v>2.5</v>
      </c>
      <c r="BA89" s="112">
        <v>0</v>
      </c>
      <c r="BB89" s="115"/>
      <c r="BC89" s="112">
        <v>2.5</v>
      </c>
      <c r="BD89" s="112">
        <v>0</v>
      </c>
      <c r="BE89" s="115"/>
      <c r="BF89" s="112">
        <v>2.5</v>
      </c>
      <c r="BG89" s="112">
        <v>0.5</v>
      </c>
      <c r="BH89" s="115"/>
      <c r="BI89" s="112">
        <v>2.5</v>
      </c>
      <c r="BJ89" s="112">
        <v>0.5</v>
      </c>
      <c r="BK89" s="115"/>
      <c r="BL89" s="112">
        <v>0</v>
      </c>
      <c r="BM89" s="112">
        <v>3</v>
      </c>
      <c r="BN89" s="115"/>
      <c r="BO89" s="112">
        <v>2.5</v>
      </c>
      <c r="BP89" s="112">
        <v>3</v>
      </c>
      <c r="BQ89" s="115"/>
      <c r="BR89" s="112">
        <v>2.5</v>
      </c>
      <c r="BS89" s="112">
        <v>0.5</v>
      </c>
      <c r="BT89" s="115"/>
      <c r="BU89" s="112">
        <v>2.5</v>
      </c>
      <c r="BV89" s="112">
        <v>0.6</v>
      </c>
      <c r="BW89" s="115"/>
      <c r="BX89" s="112">
        <v>2.5</v>
      </c>
      <c r="BY89" s="112"/>
      <c r="BZ89" s="115"/>
      <c r="CA89" s="116">
        <v>2.5</v>
      </c>
      <c r="CB89" s="112"/>
      <c r="CC89" s="115"/>
      <c r="CD89" s="116">
        <v>2.5</v>
      </c>
      <c r="CE89" s="112"/>
      <c r="CF89" s="115"/>
      <c r="CG89" s="116">
        <v>2.5</v>
      </c>
      <c r="CH89" s="112"/>
      <c r="CI89" s="115"/>
      <c r="CJ89" s="116">
        <v>0</v>
      </c>
      <c r="CK89" s="112"/>
      <c r="CL89" s="115"/>
      <c r="CM89" s="116">
        <v>2.5</v>
      </c>
      <c r="CN89" s="112"/>
      <c r="CO89" s="115"/>
      <c r="CP89" s="92"/>
      <c r="CQ89" s="112"/>
    </row>
    <row r="90" spans="1:95" ht="12" x14ac:dyDescent="0.25">
      <c r="A90" s="111" t="s">
        <v>143</v>
      </c>
      <c r="B90" s="159"/>
      <c r="C90" s="112"/>
      <c r="D90" s="112">
        <v>3</v>
      </c>
      <c r="E90" s="112">
        <v>0</v>
      </c>
      <c r="F90" s="112"/>
      <c r="G90" s="112">
        <v>3</v>
      </c>
      <c r="H90" s="112"/>
      <c r="I90" s="112"/>
      <c r="J90" s="112">
        <v>3</v>
      </c>
      <c r="K90" s="112">
        <v>0</v>
      </c>
      <c r="L90" s="114"/>
      <c r="M90" s="112">
        <v>3</v>
      </c>
      <c r="N90" s="112">
        <v>0</v>
      </c>
      <c r="O90" s="114"/>
      <c r="P90" s="112">
        <v>3</v>
      </c>
      <c r="Q90" s="112">
        <v>0</v>
      </c>
      <c r="R90" s="114"/>
      <c r="S90" s="112">
        <v>3</v>
      </c>
      <c r="T90" s="112">
        <v>0</v>
      </c>
      <c r="U90" s="114"/>
      <c r="V90" s="112">
        <v>0</v>
      </c>
      <c r="W90" s="112">
        <v>3</v>
      </c>
      <c r="X90" s="115"/>
      <c r="Y90" s="112">
        <v>3</v>
      </c>
      <c r="Z90" s="112">
        <v>0</v>
      </c>
      <c r="AA90" s="115"/>
      <c r="AB90" s="112">
        <v>3</v>
      </c>
      <c r="AC90" s="112">
        <v>0</v>
      </c>
      <c r="AD90" s="115"/>
      <c r="AE90" s="112">
        <v>3</v>
      </c>
      <c r="AF90" s="112"/>
      <c r="AG90" s="115"/>
      <c r="AH90" s="112">
        <v>3</v>
      </c>
      <c r="AI90" s="112">
        <v>0.3</v>
      </c>
      <c r="AJ90" s="115"/>
      <c r="AK90" s="112">
        <v>3</v>
      </c>
      <c r="AL90" s="112">
        <v>0</v>
      </c>
      <c r="AM90" s="115"/>
      <c r="AN90" s="112">
        <v>2.5</v>
      </c>
      <c r="AO90" s="112">
        <v>0.5</v>
      </c>
      <c r="AP90" s="115"/>
      <c r="AQ90" s="112">
        <v>2.5</v>
      </c>
      <c r="AR90" s="112">
        <v>0.5</v>
      </c>
      <c r="AS90" s="115"/>
      <c r="AT90" s="112">
        <v>2.5</v>
      </c>
      <c r="AU90" s="112">
        <v>0.5</v>
      </c>
      <c r="AV90" s="115"/>
      <c r="AW90" s="112">
        <v>2.5</v>
      </c>
      <c r="AX90" s="112">
        <v>0</v>
      </c>
      <c r="AY90" s="115"/>
      <c r="AZ90" s="112">
        <v>2.5</v>
      </c>
      <c r="BA90" s="112">
        <v>0</v>
      </c>
      <c r="BB90" s="115"/>
      <c r="BC90" s="112">
        <v>2.5</v>
      </c>
      <c r="BD90" s="112">
        <v>0</v>
      </c>
      <c r="BE90" s="115"/>
      <c r="BF90" s="112">
        <v>2.5</v>
      </c>
      <c r="BG90" s="112">
        <v>0.5</v>
      </c>
      <c r="BH90" s="115"/>
      <c r="BI90" s="112">
        <v>2.5</v>
      </c>
      <c r="BJ90" s="112">
        <v>0.5</v>
      </c>
      <c r="BK90" s="115"/>
      <c r="BL90" s="112">
        <v>2.5</v>
      </c>
      <c r="BM90" s="112">
        <v>0.6</v>
      </c>
      <c r="BN90" s="115"/>
      <c r="BO90" s="112">
        <v>2.5</v>
      </c>
      <c r="BP90" s="112">
        <v>0.6</v>
      </c>
      <c r="BQ90" s="115"/>
      <c r="BR90" s="112">
        <v>2.5</v>
      </c>
      <c r="BS90" s="112">
        <v>0.5</v>
      </c>
      <c r="BT90" s="115"/>
      <c r="BU90" s="112">
        <v>2.5</v>
      </c>
      <c r="BV90" s="112">
        <v>0.6</v>
      </c>
      <c r="BW90" s="115"/>
      <c r="BX90" s="112">
        <v>2.5</v>
      </c>
      <c r="BY90" s="112"/>
      <c r="BZ90" s="115"/>
      <c r="CA90" s="116">
        <v>2.5</v>
      </c>
      <c r="CB90" s="112"/>
      <c r="CC90" s="115"/>
      <c r="CD90" s="116">
        <v>2.5</v>
      </c>
      <c r="CE90" s="112"/>
      <c r="CF90" s="115"/>
      <c r="CG90" s="116">
        <v>2.5</v>
      </c>
      <c r="CH90" s="112"/>
      <c r="CI90" s="115"/>
      <c r="CJ90" s="116">
        <v>2.5</v>
      </c>
      <c r="CK90" s="112"/>
      <c r="CL90" s="115"/>
      <c r="CM90" s="116">
        <v>2.5</v>
      </c>
      <c r="CN90" s="112"/>
      <c r="CO90" s="115"/>
      <c r="CP90" s="92"/>
      <c r="CQ90" s="112"/>
    </row>
    <row r="91" spans="1:95" ht="12" x14ac:dyDescent="0.25">
      <c r="A91" s="111" t="s">
        <v>144</v>
      </c>
      <c r="B91" s="159"/>
      <c r="C91" s="112"/>
      <c r="D91" s="112">
        <v>3</v>
      </c>
      <c r="E91" s="112">
        <v>0</v>
      </c>
      <c r="F91" s="112"/>
      <c r="G91" s="112">
        <v>3</v>
      </c>
      <c r="H91" s="112"/>
      <c r="I91" s="112"/>
      <c r="J91" s="112">
        <v>3</v>
      </c>
      <c r="K91" s="112">
        <v>0</v>
      </c>
      <c r="L91" s="114"/>
      <c r="M91" s="112">
        <v>3</v>
      </c>
      <c r="N91" s="112">
        <v>0</v>
      </c>
      <c r="O91" s="114"/>
      <c r="P91" s="112">
        <v>3</v>
      </c>
      <c r="Q91" s="112">
        <v>0</v>
      </c>
      <c r="R91" s="114"/>
      <c r="S91" s="112">
        <v>3</v>
      </c>
      <c r="T91" s="112">
        <v>0</v>
      </c>
      <c r="U91" s="114"/>
      <c r="V91" s="112">
        <v>3</v>
      </c>
      <c r="W91" s="112">
        <v>0</v>
      </c>
      <c r="X91" s="115"/>
      <c r="Y91" s="112">
        <v>3</v>
      </c>
      <c r="Z91" s="112">
        <v>0</v>
      </c>
      <c r="AA91" s="115"/>
      <c r="AB91" s="112">
        <v>3</v>
      </c>
      <c r="AC91" s="112">
        <v>0</v>
      </c>
      <c r="AD91" s="115"/>
      <c r="AE91" s="112">
        <v>3</v>
      </c>
      <c r="AF91" s="112"/>
      <c r="AG91" s="115"/>
      <c r="AH91" s="112">
        <v>3</v>
      </c>
      <c r="AI91" s="112">
        <v>0.3</v>
      </c>
      <c r="AJ91" s="115"/>
      <c r="AK91" s="112">
        <v>3</v>
      </c>
      <c r="AL91" s="112">
        <v>0</v>
      </c>
      <c r="AM91" s="115"/>
      <c r="AN91" s="112">
        <v>2.5</v>
      </c>
      <c r="AO91" s="112">
        <v>0.5</v>
      </c>
      <c r="AP91" s="115"/>
      <c r="AQ91" s="112">
        <v>2.5</v>
      </c>
      <c r="AR91" s="112">
        <v>0.5</v>
      </c>
      <c r="AS91" s="115"/>
      <c r="AT91" s="112">
        <v>2.5</v>
      </c>
      <c r="AU91" s="112">
        <v>0.5</v>
      </c>
      <c r="AV91" s="115"/>
      <c r="AW91" s="112">
        <v>2.5</v>
      </c>
      <c r="AX91" s="112">
        <v>0.5</v>
      </c>
      <c r="AY91" s="115"/>
      <c r="AZ91" s="112">
        <v>2.5</v>
      </c>
      <c r="BA91" s="112">
        <v>0</v>
      </c>
      <c r="BB91" s="115"/>
      <c r="BC91" s="112">
        <v>2.5</v>
      </c>
      <c r="BD91" s="112">
        <v>0</v>
      </c>
      <c r="BE91" s="115"/>
      <c r="BF91" s="112">
        <v>2.5</v>
      </c>
      <c r="BG91" s="112">
        <v>0.5</v>
      </c>
      <c r="BH91" s="115"/>
      <c r="BI91" s="112">
        <v>2.5</v>
      </c>
      <c r="BJ91" s="112">
        <v>0.5</v>
      </c>
      <c r="BK91" s="115"/>
      <c r="BL91" s="112">
        <v>2.5</v>
      </c>
      <c r="BM91" s="112">
        <v>0.6</v>
      </c>
      <c r="BN91" s="115"/>
      <c r="BO91" s="112">
        <v>2.5</v>
      </c>
      <c r="BP91" s="112">
        <v>0.6</v>
      </c>
      <c r="BQ91" s="115"/>
      <c r="BR91" s="112">
        <v>2.5</v>
      </c>
      <c r="BS91" s="112">
        <v>0.5</v>
      </c>
      <c r="BT91" s="115"/>
      <c r="BU91" s="112">
        <v>2.5</v>
      </c>
      <c r="BV91" s="112">
        <v>0.6</v>
      </c>
      <c r="BW91" s="115"/>
      <c r="BX91" s="112">
        <v>2.5</v>
      </c>
      <c r="BY91" s="112"/>
      <c r="BZ91" s="115"/>
      <c r="CA91" s="116">
        <v>2.5</v>
      </c>
      <c r="CB91" s="112"/>
      <c r="CC91" s="115"/>
      <c r="CD91" s="116">
        <v>2.5</v>
      </c>
      <c r="CE91" s="112"/>
      <c r="CF91" s="115"/>
      <c r="CG91" s="116">
        <v>2.5</v>
      </c>
      <c r="CH91" s="112"/>
      <c r="CI91" s="115"/>
      <c r="CJ91" s="116">
        <v>2.5</v>
      </c>
      <c r="CK91" s="112"/>
      <c r="CL91" s="115"/>
      <c r="CM91" s="116">
        <v>2.5</v>
      </c>
      <c r="CN91" s="112"/>
      <c r="CO91" s="115"/>
      <c r="CP91" s="92"/>
      <c r="CQ91" s="112"/>
    </row>
    <row r="92" spans="1:95" ht="12" x14ac:dyDescent="0.25">
      <c r="A92" s="111" t="s">
        <v>145</v>
      </c>
      <c r="B92" s="159"/>
      <c r="C92" s="112"/>
      <c r="D92" s="112">
        <v>3</v>
      </c>
      <c r="E92" s="112">
        <v>0</v>
      </c>
      <c r="F92" s="112"/>
      <c r="G92" s="112">
        <v>3</v>
      </c>
      <c r="H92" s="112"/>
      <c r="I92" s="112"/>
      <c r="J92" s="112">
        <v>3</v>
      </c>
      <c r="K92" s="112">
        <v>0</v>
      </c>
      <c r="L92" s="114"/>
      <c r="M92" s="112">
        <v>3</v>
      </c>
      <c r="N92" s="112">
        <v>0</v>
      </c>
      <c r="O92" s="114"/>
      <c r="P92" s="112">
        <v>3</v>
      </c>
      <c r="Q92" s="112">
        <v>0</v>
      </c>
      <c r="R92" s="114"/>
      <c r="S92" s="112">
        <v>3</v>
      </c>
      <c r="T92" s="112">
        <v>0</v>
      </c>
      <c r="U92" s="114"/>
      <c r="V92" s="112">
        <v>3</v>
      </c>
      <c r="W92" s="112">
        <v>0</v>
      </c>
      <c r="X92" s="115"/>
      <c r="Y92" s="112">
        <v>3</v>
      </c>
      <c r="Z92" s="112">
        <v>0</v>
      </c>
      <c r="AA92" s="115"/>
      <c r="AB92" s="112">
        <v>3</v>
      </c>
      <c r="AC92" s="112">
        <v>0</v>
      </c>
      <c r="AD92" s="115"/>
      <c r="AE92" s="112">
        <v>3</v>
      </c>
      <c r="AF92" s="112"/>
      <c r="AG92" s="115"/>
      <c r="AH92" s="112">
        <v>3</v>
      </c>
      <c r="AI92" s="112">
        <v>0.3</v>
      </c>
      <c r="AJ92" s="115"/>
      <c r="AK92" s="112">
        <v>3</v>
      </c>
      <c r="AL92" s="112">
        <v>0</v>
      </c>
      <c r="AM92" s="115"/>
      <c r="AN92" s="112">
        <v>2.5</v>
      </c>
      <c r="AO92" s="112">
        <v>0.5</v>
      </c>
      <c r="AP92" s="115"/>
      <c r="AQ92" s="112">
        <v>2.5</v>
      </c>
      <c r="AR92" s="112">
        <v>0.5</v>
      </c>
      <c r="AS92" s="115"/>
      <c r="AT92" s="112">
        <v>2.5</v>
      </c>
      <c r="AU92" s="112">
        <v>0.5</v>
      </c>
      <c r="AV92" s="115"/>
      <c r="AW92" s="112">
        <v>2.5</v>
      </c>
      <c r="AX92" s="112">
        <v>0.5</v>
      </c>
      <c r="AY92" s="115"/>
      <c r="AZ92" s="112">
        <v>2.5</v>
      </c>
      <c r="BA92" s="112">
        <v>0</v>
      </c>
      <c r="BB92" s="115"/>
      <c r="BC92" s="112">
        <v>2.5</v>
      </c>
      <c r="BD92" s="112">
        <v>0</v>
      </c>
      <c r="BE92" s="115"/>
      <c r="BF92" s="112">
        <v>2.5</v>
      </c>
      <c r="BG92" s="112">
        <v>0.5</v>
      </c>
      <c r="BH92" s="115"/>
      <c r="BI92" s="112">
        <v>2.5</v>
      </c>
      <c r="BJ92" s="112">
        <v>0.5</v>
      </c>
      <c r="BK92" s="115"/>
      <c r="BL92" s="112">
        <v>2.5</v>
      </c>
      <c r="BM92" s="112">
        <v>0.6</v>
      </c>
      <c r="BN92" s="115"/>
      <c r="BO92" s="112">
        <v>2.5</v>
      </c>
      <c r="BP92" s="112">
        <v>0.6</v>
      </c>
      <c r="BQ92" s="115"/>
      <c r="BR92" s="112">
        <v>2.5</v>
      </c>
      <c r="BS92" s="112">
        <v>0.5</v>
      </c>
      <c r="BT92" s="115"/>
      <c r="BU92" s="112">
        <v>2.5</v>
      </c>
      <c r="BV92" s="112">
        <v>0.6</v>
      </c>
      <c r="BW92" s="115"/>
      <c r="BX92" s="112">
        <v>2.5</v>
      </c>
      <c r="BY92" s="112"/>
      <c r="BZ92" s="115"/>
      <c r="CA92" s="116">
        <v>2.5</v>
      </c>
      <c r="CB92" s="112"/>
      <c r="CC92" s="115"/>
      <c r="CD92" s="116">
        <v>2.5</v>
      </c>
      <c r="CE92" s="112"/>
      <c r="CF92" s="115"/>
      <c r="CG92" s="116">
        <v>2.5</v>
      </c>
      <c r="CH92" s="112"/>
      <c r="CI92" s="115"/>
      <c r="CJ92" s="116">
        <v>2.5</v>
      </c>
      <c r="CK92" s="112"/>
      <c r="CL92" s="115"/>
      <c r="CM92" s="116">
        <v>2.5</v>
      </c>
      <c r="CN92" s="112"/>
      <c r="CO92" s="115"/>
      <c r="CP92" s="92"/>
      <c r="CQ92" s="112"/>
    </row>
    <row r="93" spans="1:95" ht="12" x14ac:dyDescent="0.25">
      <c r="A93" s="111" t="s">
        <v>146</v>
      </c>
      <c r="B93" s="159"/>
      <c r="C93" s="112"/>
      <c r="D93" s="112">
        <v>3</v>
      </c>
      <c r="E93" s="112">
        <v>0</v>
      </c>
      <c r="F93" s="112"/>
      <c r="G93" s="112">
        <v>3</v>
      </c>
      <c r="H93" s="112"/>
      <c r="I93" s="112"/>
      <c r="J93" s="112">
        <v>3</v>
      </c>
      <c r="K93" s="112">
        <v>0</v>
      </c>
      <c r="L93" s="114"/>
      <c r="M93" s="112">
        <v>3</v>
      </c>
      <c r="N93" s="112">
        <v>0</v>
      </c>
      <c r="O93" s="114"/>
      <c r="P93" s="112">
        <v>3</v>
      </c>
      <c r="Q93" s="112">
        <v>0</v>
      </c>
      <c r="R93" s="114"/>
      <c r="S93" s="112">
        <v>3</v>
      </c>
      <c r="T93" s="112">
        <v>0</v>
      </c>
      <c r="U93" s="114"/>
      <c r="V93" s="112">
        <v>3</v>
      </c>
      <c r="W93" s="112">
        <v>0</v>
      </c>
      <c r="X93" s="115"/>
      <c r="Y93" s="112">
        <v>3</v>
      </c>
      <c r="Z93" s="112">
        <v>0</v>
      </c>
      <c r="AA93" s="115"/>
      <c r="AB93" s="112">
        <v>3</v>
      </c>
      <c r="AC93" s="112">
        <v>0</v>
      </c>
      <c r="AD93" s="115"/>
      <c r="AE93" s="112">
        <v>3</v>
      </c>
      <c r="AF93" s="112"/>
      <c r="AG93" s="115"/>
      <c r="AH93" s="112">
        <v>3</v>
      </c>
      <c r="AI93" s="112">
        <v>0.3</v>
      </c>
      <c r="AJ93" s="115"/>
      <c r="AK93" s="112">
        <v>3</v>
      </c>
      <c r="AL93" s="112">
        <v>0</v>
      </c>
      <c r="AM93" s="115"/>
      <c r="AN93" s="112">
        <v>2.5</v>
      </c>
      <c r="AO93" s="112">
        <v>0.5</v>
      </c>
      <c r="AP93" s="115"/>
      <c r="AQ93" s="112">
        <v>2.5</v>
      </c>
      <c r="AR93" s="112">
        <v>0.5</v>
      </c>
      <c r="AS93" s="115"/>
      <c r="AT93" s="112">
        <v>2.5</v>
      </c>
      <c r="AU93" s="112">
        <v>0.5</v>
      </c>
      <c r="AV93" s="115"/>
      <c r="AW93" s="112">
        <v>2.5</v>
      </c>
      <c r="AX93" s="112">
        <v>0.5</v>
      </c>
      <c r="AY93" s="115"/>
      <c r="AZ93" s="112">
        <v>2.5</v>
      </c>
      <c r="BA93" s="112">
        <v>0</v>
      </c>
      <c r="BB93" s="115"/>
      <c r="BC93" s="112">
        <v>2.5</v>
      </c>
      <c r="BD93" s="112">
        <v>0</v>
      </c>
      <c r="BE93" s="115"/>
      <c r="BF93" s="112">
        <v>2.5</v>
      </c>
      <c r="BG93" s="112">
        <v>0.5</v>
      </c>
      <c r="BH93" s="115"/>
      <c r="BI93" s="112">
        <v>2.5</v>
      </c>
      <c r="BJ93" s="112">
        <v>0.5</v>
      </c>
      <c r="BK93" s="115"/>
      <c r="BL93" s="112">
        <v>2.5</v>
      </c>
      <c r="BM93" s="112">
        <v>0.6</v>
      </c>
      <c r="BN93" s="115"/>
      <c r="BO93" s="112">
        <v>2.5</v>
      </c>
      <c r="BP93" s="112">
        <v>0.6</v>
      </c>
      <c r="BQ93" s="115"/>
      <c r="BR93" s="112">
        <v>2.5</v>
      </c>
      <c r="BS93" s="112">
        <v>0.5</v>
      </c>
      <c r="BT93" s="115"/>
      <c r="BU93" s="112">
        <v>2.5</v>
      </c>
      <c r="BV93" s="112">
        <v>0.6</v>
      </c>
      <c r="BW93" s="115"/>
      <c r="BX93" s="112">
        <v>2.5</v>
      </c>
      <c r="BY93" s="112"/>
      <c r="BZ93" s="115"/>
      <c r="CA93" s="116">
        <v>2.5</v>
      </c>
      <c r="CB93" s="112"/>
      <c r="CC93" s="115"/>
      <c r="CD93" s="116">
        <v>2.5</v>
      </c>
      <c r="CE93" s="112"/>
      <c r="CF93" s="115"/>
      <c r="CG93" s="116">
        <v>2.5</v>
      </c>
      <c r="CH93" s="112"/>
      <c r="CI93" s="115"/>
      <c r="CJ93" s="116">
        <v>2.5</v>
      </c>
      <c r="CK93" s="112"/>
      <c r="CL93" s="115"/>
      <c r="CM93" s="116">
        <v>2.5</v>
      </c>
      <c r="CN93" s="112"/>
      <c r="CO93" s="115"/>
      <c r="CP93" s="92"/>
      <c r="CQ93" s="112"/>
    </row>
    <row r="94" spans="1:95" ht="12" x14ac:dyDescent="0.25">
      <c r="A94" s="111" t="s">
        <v>147</v>
      </c>
      <c r="B94" s="160"/>
      <c r="C94" s="112"/>
      <c r="D94" s="112">
        <v>3</v>
      </c>
      <c r="E94" s="112">
        <v>0</v>
      </c>
      <c r="F94" s="112"/>
      <c r="G94" s="112">
        <v>3</v>
      </c>
      <c r="H94" s="112"/>
      <c r="I94" s="112"/>
      <c r="J94" s="112">
        <v>3</v>
      </c>
      <c r="K94" s="112">
        <v>0</v>
      </c>
      <c r="L94" s="114"/>
      <c r="M94" s="112">
        <v>3</v>
      </c>
      <c r="N94" s="112">
        <v>0</v>
      </c>
      <c r="O94" s="114"/>
      <c r="P94" s="112">
        <v>3</v>
      </c>
      <c r="Q94" s="112">
        <v>0</v>
      </c>
      <c r="R94" s="114"/>
      <c r="S94" s="112">
        <v>3</v>
      </c>
      <c r="T94" s="112">
        <v>0</v>
      </c>
      <c r="U94" s="114"/>
      <c r="V94" s="112">
        <v>3</v>
      </c>
      <c r="W94" s="112">
        <v>0</v>
      </c>
      <c r="X94" s="115"/>
      <c r="Y94" s="112">
        <v>3</v>
      </c>
      <c r="Z94" s="112">
        <v>0</v>
      </c>
      <c r="AA94" s="115"/>
      <c r="AB94" s="112">
        <v>3</v>
      </c>
      <c r="AC94" s="112">
        <v>0</v>
      </c>
      <c r="AD94" s="115"/>
      <c r="AE94" s="112">
        <v>3</v>
      </c>
      <c r="AF94" s="112"/>
      <c r="AG94" s="115"/>
      <c r="AH94" s="112">
        <v>3</v>
      </c>
      <c r="AI94" s="112">
        <v>0.3</v>
      </c>
      <c r="AJ94" s="115"/>
      <c r="AK94" s="112">
        <v>3</v>
      </c>
      <c r="AL94" s="112">
        <v>0</v>
      </c>
      <c r="AM94" s="115"/>
      <c r="AN94" s="112">
        <v>2.5</v>
      </c>
      <c r="AO94" s="112">
        <v>0.5</v>
      </c>
      <c r="AP94" s="115"/>
      <c r="AQ94" s="112">
        <v>2.5</v>
      </c>
      <c r="AR94" s="112">
        <v>0.5</v>
      </c>
      <c r="AS94" s="115"/>
      <c r="AT94" s="112">
        <v>2.5</v>
      </c>
      <c r="AU94" s="112">
        <v>0.5</v>
      </c>
      <c r="AV94" s="115"/>
      <c r="AW94" s="112">
        <v>2.5</v>
      </c>
      <c r="AX94" s="112">
        <v>0.5</v>
      </c>
      <c r="AY94" s="115"/>
      <c r="AZ94" s="112">
        <v>2.5</v>
      </c>
      <c r="BA94" s="112">
        <v>0.6</v>
      </c>
      <c r="BB94" s="115"/>
      <c r="BC94" s="112">
        <v>2.5</v>
      </c>
      <c r="BD94" s="112">
        <v>0</v>
      </c>
      <c r="BE94" s="115"/>
      <c r="BF94" s="112">
        <v>2.5</v>
      </c>
      <c r="BG94" s="112">
        <v>0.5</v>
      </c>
      <c r="BH94" s="115"/>
      <c r="BI94" s="112">
        <v>2.5</v>
      </c>
      <c r="BJ94" s="112">
        <v>0.5</v>
      </c>
      <c r="BK94" s="115"/>
      <c r="BL94" s="112">
        <v>2.5</v>
      </c>
      <c r="BM94" s="112">
        <v>0.6</v>
      </c>
      <c r="BN94" s="115"/>
      <c r="BO94" s="112">
        <v>2.5</v>
      </c>
      <c r="BP94" s="112">
        <v>0.6</v>
      </c>
      <c r="BQ94" s="115"/>
      <c r="BR94" s="112">
        <v>2.5</v>
      </c>
      <c r="BS94" s="112">
        <v>0.5</v>
      </c>
      <c r="BT94" s="115"/>
      <c r="BU94" s="112">
        <v>2.5</v>
      </c>
      <c r="BV94" s="112">
        <v>0.6</v>
      </c>
      <c r="BW94" s="115"/>
      <c r="BX94" s="112">
        <v>2.5</v>
      </c>
      <c r="BY94" s="112"/>
      <c r="BZ94" s="115"/>
      <c r="CA94" s="116">
        <v>2.5</v>
      </c>
      <c r="CB94" s="112"/>
      <c r="CC94" s="115"/>
      <c r="CD94" s="116">
        <v>2.5</v>
      </c>
      <c r="CE94" s="112"/>
      <c r="CF94" s="115"/>
      <c r="CG94" s="116">
        <v>2.5</v>
      </c>
      <c r="CH94" s="112"/>
      <c r="CI94" s="115"/>
      <c r="CJ94" s="116">
        <v>2.5</v>
      </c>
      <c r="CK94" s="112"/>
      <c r="CL94" s="115"/>
      <c r="CM94" s="116">
        <v>2.5</v>
      </c>
      <c r="CN94" s="112"/>
      <c r="CO94" s="115"/>
      <c r="CP94" s="92"/>
      <c r="CQ94" s="112"/>
    </row>
    <row r="95" spans="1:95" ht="12" x14ac:dyDescent="0.25">
      <c r="A95" s="111" t="s">
        <v>148</v>
      </c>
      <c r="B95" s="158" t="s">
        <v>32</v>
      </c>
      <c r="C95" s="112"/>
      <c r="D95" s="112">
        <v>0</v>
      </c>
      <c r="E95" s="112">
        <v>0</v>
      </c>
      <c r="F95" s="112"/>
      <c r="G95" s="112">
        <v>0</v>
      </c>
      <c r="H95" s="112"/>
      <c r="I95" s="112"/>
      <c r="J95" s="112">
        <v>0</v>
      </c>
      <c r="K95" s="112">
        <v>0</v>
      </c>
      <c r="L95" s="114"/>
      <c r="M95" s="112">
        <v>0</v>
      </c>
      <c r="N95" s="112">
        <v>0</v>
      </c>
      <c r="O95" s="114"/>
      <c r="P95" s="112">
        <v>0</v>
      </c>
      <c r="Q95" s="112">
        <v>0</v>
      </c>
      <c r="R95" s="114"/>
      <c r="S95" s="112">
        <v>0</v>
      </c>
      <c r="T95" s="112">
        <v>0</v>
      </c>
      <c r="U95" s="114"/>
      <c r="V95" s="112">
        <v>0</v>
      </c>
      <c r="W95" s="112">
        <v>0</v>
      </c>
      <c r="X95" s="115"/>
      <c r="Y95" s="112">
        <v>0</v>
      </c>
      <c r="Z95" s="112">
        <v>0</v>
      </c>
      <c r="AA95" s="115"/>
      <c r="AB95" s="112">
        <v>0</v>
      </c>
      <c r="AC95" s="112">
        <v>0.5</v>
      </c>
      <c r="AD95" s="115"/>
      <c r="AE95" s="112">
        <v>0</v>
      </c>
      <c r="AF95" s="112"/>
      <c r="AG95" s="115"/>
      <c r="AH95" s="112">
        <v>0.5</v>
      </c>
      <c r="AI95" s="112">
        <v>0.1</v>
      </c>
      <c r="AJ95" s="115"/>
      <c r="AK95" s="112">
        <v>0.5</v>
      </c>
      <c r="AL95" s="112">
        <v>0</v>
      </c>
      <c r="AM95" s="115"/>
      <c r="AN95" s="112">
        <v>0.5</v>
      </c>
      <c r="AO95" s="112">
        <v>0</v>
      </c>
      <c r="AP95" s="115"/>
      <c r="AQ95" s="112">
        <v>0</v>
      </c>
      <c r="AR95" s="112">
        <v>0</v>
      </c>
      <c r="AS95" s="115"/>
      <c r="AT95" s="112">
        <v>0</v>
      </c>
      <c r="AU95" s="112">
        <v>0</v>
      </c>
      <c r="AV95" s="115"/>
      <c r="AW95" s="112">
        <v>0</v>
      </c>
      <c r="AX95" s="112">
        <v>0</v>
      </c>
      <c r="AY95" s="115"/>
      <c r="AZ95" s="112">
        <v>0</v>
      </c>
      <c r="BA95" s="112">
        <v>0</v>
      </c>
      <c r="BB95" s="115"/>
      <c r="BC95" s="112">
        <v>0</v>
      </c>
      <c r="BD95" s="112">
        <v>0</v>
      </c>
      <c r="BE95" s="115"/>
      <c r="BF95" s="112">
        <v>0</v>
      </c>
      <c r="BG95" s="112">
        <v>0</v>
      </c>
      <c r="BH95" s="115"/>
      <c r="BI95" s="112">
        <v>0</v>
      </c>
      <c r="BJ95" s="112">
        <v>0.5</v>
      </c>
      <c r="BK95" s="115"/>
      <c r="BL95" s="112">
        <v>0</v>
      </c>
      <c r="BM95" s="112">
        <v>0</v>
      </c>
      <c r="BN95" s="115"/>
      <c r="BO95" s="112">
        <v>0</v>
      </c>
      <c r="BP95" s="112">
        <v>0</v>
      </c>
      <c r="BQ95" s="115"/>
      <c r="BR95" s="112">
        <v>0</v>
      </c>
      <c r="BS95" s="112">
        <v>0</v>
      </c>
      <c r="BT95" s="115"/>
      <c r="BU95" s="112">
        <v>0</v>
      </c>
      <c r="BV95" s="112">
        <v>0</v>
      </c>
      <c r="BW95" s="115"/>
      <c r="BX95" s="112">
        <v>0.3</v>
      </c>
      <c r="BY95" s="112"/>
      <c r="BZ95" s="115"/>
      <c r="CA95" s="116">
        <v>0</v>
      </c>
      <c r="CB95" s="112"/>
      <c r="CC95" s="115"/>
      <c r="CD95" s="116">
        <v>0</v>
      </c>
      <c r="CE95" s="112"/>
      <c r="CF95" s="115"/>
      <c r="CG95" s="116">
        <v>0</v>
      </c>
      <c r="CH95" s="112"/>
      <c r="CI95" s="115"/>
      <c r="CJ95" s="116">
        <v>0</v>
      </c>
      <c r="CK95" s="112"/>
      <c r="CL95" s="115"/>
      <c r="CM95" s="116">
        <v>0</v>
      </c>
      <c r="CN95" s="112"/>
      <c r="CO95" s="115"/>
      <c r="CP95" s="92"/>
      <c r="CQ95" s="112"/>
    </row>
    <row r="96" spans="1:95" ht="12" x14ac:dyDescent="0.25">
      <c r="A96" s="111" t="s">
        <v>149</v>
      </c>
      <c r="B96" s="159"/>
      <c r="C96" s="112"/>
      <c r="D96" s="112">
        <v>0</v>
      </c>
      <c r="E96" s="112">
        <v>0</v>
      </c>
      <c r="F96" s="112"/>
      <c r="G96" s="112">
        <v>0</v>
      </c>
      <c r="H96" s="112"/>
      <c r="I96" s="112"/>
      <c r="J96" s="112">
        <v>0</v>
      </c>
      <c r="K96" s="112">
        <v>0</v>
      </c>
      <c r="L96" s="114"/>
      <c r="M96" s="112">
        <v>0</v>
      </c>
      <c r="N96" s="112">
        <v>0</v>
      </c>
      <c r="O96" s="114"/>
      <c r="P96" s="112">
        <v>0</v>
      </c>
      <c r="Q96" s="112">
        <v>0</v>
      </c>
      <c r="R96" s="114"/>
      <c r="S96" s="112">
        <v>0</v>
      </c>
      <c r="T96" s="112">
        <v>0</v>
      </c>
      <c r="U96" s="114"/>
      <c r="V96" s="112">
        <v>0</v>
      </c>
      <c r="W96" s="112">
        <v>0</v>
      </c>
      <c r="X96" s="115"/>
      <c r="Y96" s="112">
        <v>0</v>
      </c>
      <c r="Z96" s="112">
        <v>0</v>
      </c>
      <c r="AA96" s="115"/>
      <c r="AB96" s="112">
        <v>0</v>
      </c>
      <c r="AC96" s="112">
        <v>0</v>
      </c>
      <c r="AD96" s="115"/>
      <c r="AE96" s="112">
        <v>0.5</v>
      </c>
      <c r="AF96" s="112"/>
      <c r="AG96" s="115"/>
      <c r="AH96" s="112">
        <v>0.5</v>
      </c>
      <c r="AI96" s="112">
        <v>0.1</v>
      </c>
      <c r="AJ96" s="115"/>
      <c r="AK96" s="112">
        <v>0.5</v>
      </c>
      <c r="AL96" s="112">
        <v>0</v>
      </c>
      <c r="AM96" s="115"/>
      <c r="AN96" s="112">
        <v>0.5</v>
      </c>
      <c r="AO96" s="112">
        <v>0</v>
      </c>
      <c r="AP96" s="115"/>
      <c r="AQ96" s="112">
        <v>0.3</v>
      </c>
      <c r="AR96" s="112">
        <v>0</v>
      </c>
      <c r="AS96" s="115"/>
      <c r="AT96" s="112">
        <v>0</v>
      </c>
      <c r="AU96" s="112">
        <v>0</v>
      </c>
      <c r="AV96" s="115"/>
      <c r="AW96" s="112">
        <v>0</v>
      </c>
      <c r="AX96" s="112">
        <v>0</v>
      </c>
      <c r="AY96" s="115"/>
      <c r="AZ96" s="112">
        <v>0</v>
      </c>
      <c r="BA96" s="112">
        <v>0</v>
      </c>
      <c r="BB96" s="115"/>
      <c r="BC96" s="112">
        <v>0</v>
      </c>
      <c r="BD96" s="112">
        <v>0</v>
      </c>
      <c r="BE96" s="115"/>
      <c r="BF96" s="112">
        <v>0</v>
      </c>
      <c r="BG96" s="112">
        <v>0</v>
      </c>
      <c r="BH96" s="115"/>
      <c r="BI96" s="112">
        <v>0</v>
      </c>
      <c r="BJ96" s="112">
        <v>0.5</v>
      </c>
      <c r="BK96" s="115"/>
      <c r="BL96" s="112">
        <v>0</v>
      </c>
      <c r="BM96" s="112">
        <v>0</v>
      </c>
      <c r="BN96" s="115"/>
      <c r="BO96" s="112">
        <v>0</v>
      </c>
      <c r="BP96" s="112">
        <v>0</v>
      </c>
      <c r="BQ96" s="115"/>
      <c r="BR96" s="112">
        <v>0</v>
      </c>
      <c r="BS96" s="112">
        <v>0</v>
      </c>
      <c r="BT96" s="115"/>
      <c r="BU96" s="112">
        <v>0.3</v>
      </c>
      <c r="BV96" s="112">
        <v>0</v>
      </c>
      <c r="BW96" s="115"/>
      <c r="BX96" s="112">
        <v>0.3</v>
      </c>
      <c r="BY96" s="112"/>
      <c r="BZ96" s="115"/>
      <c r="CA96" s="116">
        <v>0</v>
      </c>
      <c r="CB96" s="112"/>
      <c r="CC96" s="115"/>
      <c r="CD96" s="116">
        <v>0</v>
      </c>
      <c r="CE96" s="112"/>
      <c r="CF96" s="115"/>
      <c r="CG96" s="116">
        <v>0</v>
      </c>
      <c r="CH96" s="112"/>
      <c r="CI96" s="115"/>
      <c r="CJ96" s="116">
        <v>0</v>
      </c>
      <c r="CK96" s="112"/>
      <c r="CL96" s="115"/>
      <c r="CM96" s="116">
        <v>0</v>
      </c>
      <c r="CN96" s="112"/>
      <c r="CO96" s="115"/>
      <c r="CP96" s="92"/>
      <c r="CQ96" s="112"/>
    </row>
    <row r="97" spans="1:95" ht="12" x14ac:dyDescent="0.25">
      <c r="A97" s="111" t="s">
        <v>150</v>
      </c>
      <c r="B97" s="159"/>
      <c r="C97" s="112"/>
      <c r="D97" s="112">
        <v>0</v>
      </c>
      <c r="E97" s="112">
        <v>0</v>
      </c>
      <c r="F97" s="112"/>
      <c r="G97" s="112">
        <v>0</v>
      </c>
      <c r="H97" s="112"/>
      <c r="I97" s="112"/>
      <c r="J97" s="112">
        <v>0</v>
      </c>
      <c r="K97" s="112">
        <v>0</v>
      </c>
      <c r="L97" s="114"/>
      <c r="M97" s="112">
        <v>0</v>
      </c>
      <c r="N97" s="112">
        <v>0</v>
      </c>
      <c r="O97" s="114"/>
      <c r="P97" s="112">
        <v>0</v>
      </c>
      <c r="Q97" s="112">
        <v>0</v>
      </c>
      <c r="R97" s="114"/>
      <c r="S97" s="112">
        <v>0</v>
      </c>
      <c r="T97" s="112">
        <v>0</v>
      </c>
      <c r="U97" s="114"/>
      <c r="V97" s="112">
        <v>0</v>
      </c>
      <c r="W97" s="112">
        <v>0</v>
      </c>
      <c r="X97" s="115"/>
      <c r="Y97" s="112">
        <v>0</v>
      </c>
      <c r="Z97" s="112">
        <v>0</v>
      </c>
      <c r="AA97" s="115"/>
      <c r="AB97" s="112">
        <v>0</v>
      </c>
      <c r="AC97" s="112">
        <v>0</v>
      </c>
      <c r="AD97" s="115"/>
      <c r="AE97" s="112">
        <v>0.5</v>
      </c>
      <c r="AF97" s="112"/>
      <c r="AG97" s="115"/>
      <c r="AH97" s="112">
        <v>0.5</v>
      </c>
      <c r="AI97" s="112">
        <v>0.1</v>
      </c>
      <c r="AJ97" s="115"/>
      <c r="AK97" s="112">
        <v>0.5</v>
      </c>
      <c r="AL97" s="112">
        <v>0</v>
      </c>
      <c r="AM97" s="115"/>
      <c r="AN97" s="112">
        <v>0.5</v>
      </c>
      <c r="AO97" s="112">
        <v>0</v>
      </c>
      <c r="AP97" s="115"/>
      <c r="AQ97" s="112">
        <v>0.3</v>
      </c>
      <c r="AR97" s="112">
        <v>0</v>
      </c>
      <c r="AS97" s="115"/>
      <c r="AT97" s="112">
        <v>0.3</v>
      </c>
      <c r="AU97" s="112">
        <v>0</v>
      </c>
      <c r="AV97" s="115"/>
      <c r="AW97" s="112">
        <v>0</v>
      </c>
      <c r="AX97" s="112">
        <v>0</v>
      </c>
      <c r="AY97" s="115"/>
      <c r="AZ97" s="112">
        <v>0</v>
      </c>
      <c r="BA97" s="112">
        <v>0</v>
      </c>
      <c r="BB97" s="115"/>
      <c r="BC97" s="112">
        <v>0</v>
      </c>
      <c r="BD97" s="112">
        <v>0</v>
      </c>
      <c r="BE97" s="115"/>
      <c r="BF97" s="112">
        <v>0</v>
      </c>
      <c r="BG97" s="112">
        <v>0</v>
      </c>
      <c r="BH97" s="115"/>
      <c r="BI97" s="112">
        <v>0</v>
      </c>
      <c r="BJ97" s="112">
        <v>0.5</v>
      </c>
      <c r="BK97" s="115"/>
      <c r="BL97" s="112">
        <v>0</v>
      </c>
      <c r="BM97" s="112">
        <v>0</v>
      </c>
      <c r="BN97" s="115"/>
      <c r="BO97" s="112">
        <v>0</v>
      </c>
      <c r="BP97" s="112">
        <v>0</v>
      </c>
      <c r="BQ97" s="115"/>
      <c r="BR97" s="112">
        <v>0</v>
      </c>
      <c r="BS97" s="112">
        <v>0</v>
      </c>
      <c r="BT97" s="115"/>
      <c r="BU97" s="112">
        <v>0.3</v>
      </c>
      <c r="BV97" s="112">
        <v>0</v>
      </c>
      <c r="BW97" s="115"/>
      <c r="BX97" s="112">
        <v>0.3</v>
      </c>
      <c r="BY97" s="112"/>
      <c r="BZ97" s="115"/>
      <c r="CA97" s="116">
        <v>0</v>
      </c>
      <c r="CB97" s="112"/>
      <c r="CC97" s="115"/>
      <c r="CD97" s="116">
        <v>0.3</v>
      </c>
      <c r="CE97" s="112"/>
      <c r="CF97" s="115"/>
      <c r="CG97" s="116">
        <v>0.3</v>
      </c>
      <c r="CH97" s="112"/>
      <c r="CI97" s="115"/>
      <c r="CJ97" s="116">
        <v>0</v>
      </c>
      <c r="CK97" s="112"/>
      <c r="CL97" s="115"/>
      <c r="CM97" s="116">
        <v>0</v>
      </c>
      <c r="CN97" s="112"/>
      <c r="CO97" s="115"/>
      <c r="CP97" s="92"/>
      <c r="CQ97" s="112"/>
    </row>
    <row r="98" spans="1:95" ht="12" x14ac:dyDescent="0.25">
      <c r="A98" s="111" t="s">
        <v>151</v>
      </c>
      <c r="B98" s="159"/>
      <c r="C98" s="112"/>
      <c r="D98" s="112">
        <v>0</v>
      </c>
      <c r="E98" s="112">
        <v>0</v>
      </c>
      <c r="F98" s="112"/>
      <c r="G98" s="112">
        <v>0</v>
      </c>
      <c r="H98" s="112"/>
      <c r="I98" s="112"/>
      <c r="J98" s="112">
        <v>0</v>
      </c>
      <c r="K98" s="112">
        <v>0</v>
      </c>
      <c r="L98" s="114"/>
      <c r="M98" s="112">
        <v>0</v>
      </c>
      <c r="N98" s="112">
        <v>0</v>
      </c>
      <c r="O98" s="114"/>
      <c r="P98" s="112">
        <v>0</v>
      </c>
      <c r="Q98" s="112">
        <v>0</v>
      </c>
      <c r="R98" s="114"/>
      <c r="S98" s="112">
        <v>0</v>
      </c>
      <c r="T98" s="112">
        <v>0</v>
      </c>
      <c r="U98" s="114"/>
      <c r="V98" s="112">
        <v>0</v>
      </c>
      <c r="W98" s="112">
        <v>0</v>
      </c>
      <c r="X98" s="115"/>
      <c r="Y98" s="112">
        <v>0</v>
      </c>
      <c r="Z98" s="112">
        <v>0</v>
      </c>
      <c r="AA98" s="115"/>
      <c r="AB98" s="112">
        <v>0</v>
      </c>
      <c r="AC98" s="112">
        <v>0</v>
      </c>
      <c r="AD98" s="115"/>
      <c r="AE98" s="112">
        <v>0.5</v>
      </c>
      <c r="AF98" s="112"/>
      <c r="AG98" s="115"/>
      <c r="AH98" s="112">
        <v>0.5</v>
      </c>
      <c r="AI98" s="112">
        <v>0.1</v>
      </c>
      <c r="AJ98" s="115"/>
      <c r="AK98" s="112">
        <v>0.5</v>
      </c>
      <c r="AL98" s="112">
        <v>0</v>
      </c>
      <c r="AM98" s="115"/>
      <c r="AN98" s="112">
        <v>0.5</v>
      </c>
      <c r="AO98" s="112">
        <v>0</v>
      </c>
      <c r="AP98" s="115"/>
      <c r="AQ98" s="112">
        <v>0.3</v>
      </c>
      <c r="AR98" s="112">
        <v>0</v>
      </c>
      <c r="AS98" s="115"/>
      <c r="AT98" s="112">
        <v>0.3</v>
      </c>
      <c r="AU98" s="112">
        <v>0</v>
      </c>
      <c r="AV98" s="115"/>
      <c r="AW98" s="112">
        <v>0</v>
      </c>
      <c r="AX98" s="112">
        <v>0</v>
      </c>
      <c r="AY98" s="115"/>
      <c r="AZ98" s="112">
        <v>0</v>
      </c>
      <c r="BA98" s="112">
        <v>0</v>
      </c>
      <c r="BB98" s="115"/>
      <c r="BC98" s="112">
        <v>0</v>
      </c>
      <c r="BD98" s="112">
        <v>0</v>
      </c>
      <c r="BE98" s="115"/>
      <c r="BF98" s="112">
        <v>0</v>
      </c>
      <c r="BG98" s="112">
        <v>0</v>
      </c>
      <c r="BH98" s="115"/>
      <c r="BI98" s="112">
        <v>0</v>
      </c>
      <c r="BJ98" s="112">
        <v>0.5</v>
      </c>
      <c r="BK98" s="115"/>
      <c r="BL98" s="112">
        <v>0</v>
      </c>
      <c r="BM98" s="112">
        <v>0</v>
      </c>
      <c r="BN98" s="115"/>
      <c r="BO98" s="112">
        <v>0</v>
      </c>
      <c r="BP98" s="112">
        <v>0</v>
      </c>
      <c r="BQ98" s="115"/>
      <c r="BR98" s="112">
        <v>0</v>
      </c>
      <c r="BS98" s="112">
        <v>0</v>
      </c>
      <c r="BT98" s="115"/>
      <c r="BU98" s="112">
        <v>0.3</v>
      </c>
      <c r="BV98" s="112">
        <v>0</v>
      </c>
      <c r="BW98" s="115"/>
      <c r="BX98" s="112">
        <v>0.3</v>
      </c>
      <c r="BY98" s="112"/>
      <c r="BZ98" s="115"/>
      <c r="CA98" s="116">
        <v>0.3</v>
      </c>
      <c r="CB98" s="112"/>
      <c r="CC98" s="115"/>
      <c r="CD98" s="116">
        <v>0.3</v>
      </c>
      <c r="CE98" s="112"/>
      <c r="CF98" s="115"/>
      <c r="CG98" s="116">
        <v>0.3</v>
      </c>
      <c r="CH98" s="112"/>
      <c r="CI98" s="115"/>
      <c r="CJ98" s="116">
        <v>0</v>
      </c>
      <c r="CK98" s="112"/>
      <c r="CL98" s="115"/>
      <c r="CM98" s="116">
        <v>0</v>
      </c>
      <c r="CN98" s="112"/>
      <c r="CO98" s="115"/>
      <c r="CP98" s="92"/>
      <c r="CQ98" s="112"/>
    </row>
    <row r="99" spans="1:95" ht="12" x14ac:dyDescent="0.25">
      <c r="A99" s="111" t="s">
        <v>152</v>
      </c>
      <c r="B99" s="159"/>
      <c r="C99" s="112"/>
      <c r="D99" s="112">
        <v>1</v>
      </c>
      <c r="E99" s="112">
        <v>0</v>
      </c>
      <c r="F99" s="112"/>
      <c r="G99" s="112">
        <v>0</v>
      </c>
      <c r="H99" s="112"/>
      <c r="I99" s="112"/>
      <c r="J99" s="112">
        <v>0</v>
      </c>
      <c r="K99" s="112">
        <v>0</v>
      </c>
      <c r="L99" s="114"/>
      <c r="M99" s="112">
        <v>0.5</v>
      </c>
      <c r="N99" s="112">
        <v>0</v>
      </c>
      <c r="O99" s="114"/>
      <c r="P99" s="112">
        <v>0</v>
      </c>
      <c r="Q99" s="112">
        <v>0</v>
      </c>
      <c r="R99" s="114"/>
      <c r="S99" s="112">
        <v>0</v>
      </c>
      <c r="T99" s="112">
        <v>0</v>
      </c>
      <c r="U99" s="114"/>
      <c r="V99" s="112">
        <v>0</v>
      </c>
      <c r="W99" s="112">
        <v>0</v>
      </c>
      <c r="X99" s="115"/>
      <c r="Y99" s="112">
        <v>0</v>
      </c>
      <c r="Z99" s="112">
        <v>0</v>
      </c>
      <c r="AA99" s="115"/>
      <c r="AB99" s="112">
        <v>0.5</v>
      </c>
      <c r="AC99" s="112">
        <v>0</v>
      </c>
      <c r="AD99" s="115"/>
      <c r="AE99" s="112">
        <v>0.5</v>
      </c>
      <c r="AF99" s="112"/>
      <c r="AG99" s="115"/>
      <c r="AH99" s="112">
        <v>0.5</v>
      </c>
      <c r="AI99" s="112">
        <v>0.1</v>
      </c>
      <c r="AJ99" s="115"/>
      <c r="AK99" s="112">
        <v>0.5</v>
      </c>
      <c r="AL99" s="112">
        <v>0</v>
      </c>
      <c r="AM99" s="115"/>
      <c r="AN99" s="112">
        <v>0.5</v>
      </c>
      <c r="AO99" s="112">
        <v>0</v>
      </c>
      <c r="AP99" s="115"/>
      <c r="AQ99" s="112">
        <v>0.3</v>
      </c>
      <c r="AR99" s="112">
        <v>0</v>
      </c>
      <c r="AS99" s="115"/>
      <c r="AT99" s="112">
        <v>0.3</v>
      </c>
      <c r="AU99" s="112">
        <v>0</v>
      </c>
      <c r="AV99" s="115"/>
      <c r="AW99" s="112">
        <v>0.3</v>
      </c>
      <c r="AX99" s="112">
        <v>0</v>
      </c>
      <c r="AY99" s="115"/>
      <c r="AZ99" s="112">
        <v>0</v>
      </c>
      <c r="BA99" s="112">
        <v>0</v>
      </c>
      <c r="BB99" s="115"/>
      <c r="BC99" s="112">
        <v>0.3</v>
      </c>
      <c r="BD99" s="112">
        <v>0</v>
      </c>
      <c r="BE99" s="115"/>
      <c r="BF99" s="112">
        <v>0</v>
      </c>
      <c r="BG99" s="112">
        <v>0</v>
      </c>
      <c r="BH99" s="115"/>
      <c r="BI99" s="112">
        <v>0</v>
      </c>
      <c r="BJ99" s="112">
        <v>0</v>
      </c>
      <c r="BK99" s="115"/>
      <c r="BL99" s="112">
        <v>0</v>
      </c>
      <c r="BM99" s="112">
        <v>0</v>
      </c>
      <c r="BN99" s="115"/>
      <c r="BO99" s="112">
        <v>0</v>
      </c>
      <c r="BP99" s="112">
        <v>0</v>
      </c>
      <c r="BQ99" s="115"/>
      <c r="BR99" s="112">
        <v>0</v>
      </c>
      <c r="BS99" s="112">
        <v>0</v>
      </c>
      <c r="BT99" s="115"/>
      <c r="BU99" s="112">
        <v>0.3</v>
      </c>
      <c r="BV99" s="112">
        <v>0</v>
      </c>
      <c r="BW99" s="115"/>
      <c r="BX99" s="112">
        <v>0.3</v>
      </c>
      <c r="BY99" s="112"/>
      <c r="BZ99" s="115"/>
      <c r="CA99" s="116">
        <v>0.3</v>
      </c>
      <c r="CB99" s="112"/>
      <c r="CC99" s="115"/>
      <c r="CD99" s="116">
        <v>0.3</v>
      </c>
      <c r="CE99" s="112"/>
      <c r="CF99" s="115"/>
      <c r="CG99" s="116">
        <v>0.3</v>
      </c>
      <c r="CH99" s="112"/>
      <c r="CI99" s="115"/>
      <c r="CJ99" s="116">
        <v>0.3</v>
      </c>
      <c r="CK99" s="112"/>
      <c r="CL99" s="115"/>
      <c r="CM99" s="116">
        <v>0.3</v>
      </c>
      <c r="CN99" s="112"/>
      <c r="CO99" s="115"/>
      <c r="CP99" s="92"/>
      <c r="CQ99" s="112"/>
    </row>
    <row r="100" spans="1:95" ht="12" x14ac:dyDescent="0.25">
      <c r="A100" s="111" t="s">
        <v>153</v>
      </c>
      <c r="B100" s="159"/>
      <c r="C100" s="112"/>
      <c r="D100" s="112">
        <v>1</v>
      </c>
      <c r="E100" s="112">
        <v>0</v>
      </c>
      <c r="F100" s="112"/>
      <c r="G100" s="112">
        <v>0</v>
      </c>
      <c r="H100" s="112"/>
      <c r="I100" s="112"/>
      <c r="J100" s="112">
        <v>0</v>
      </c>
      <c r="K100" s="112">
        <v>0</v>
      </c>
      <c r="L100" s="114"/>
      <c r="M100" s="112">
        <v>0.5</v>
      </c>
      <c r="N100" s="112">
        <v>0</v>
      </c>
      <c r="O100" s="114"/>
      <c r="P100" s="112">
        <v>0</v>
      </c>
      <c r="Q100" s="112">
        <v>0</v>
      </c>
      <c r="R100" s="114"/>
      <c r="S100" s="112">
        <v>0</v>
      </c>
      <c r="T100" s="112">
        <v>0</v>
      </c>
      <c r="U100" s="114"/>
      <c r="V100" s="112">
        <v>0</v>
      </c>
      <c r="W100" s="112">
        <v>0</v>
      </c>
      <c r="X100" s="115"/>
      <c r="Y100" s="112">
        <v>0.5</v>
      </c>
      <c r="Z100" s="112">
        <v>0</v>
      </c>
      <c r="AA100" s="115"/>
      <c r="AB100" s="112">
        <v>0.5</v>
      </c>
      <c r="AC100" s="112">
        <v>0</v>
      </c>
      <c r="AD100" s="115"/>
      <c r="AE100" s="112">
        <v>0.5</v>
      </c>
      <c r="AF100" s="112"/>
      <c r="AG100" s="115"/>
      <c r="AH100" s="112">
        <v>0.5</v>
      </c>
      <c r="AI100" s="112">
        <v>0.1</v>
      </c>
      <c r="AJ100" s="115"/>
      <c r="AK100" s="112">
        <v>0.5</v>
      </c>
      <c r="AL100" s="112">
        <v>0</v>
      </c>
      <c r="AM100" s="115"/>
      <c r="AN100" s="112">
        <v>0.5</v>
      </c>
      <c r="AO100" s="112">
        <v>0</v>
      </c>
      <c r="AP100" s="115"/>
      <c r="AQ100" s="112">
        <v>0.3</v>
      </c>
      <c r="AR100" s="112">
        <v>0</v>
      </c>
      <c r="AS100" s="115"/>
      <c r="AT100" s="112">
        <v>0.3</v>
      </c>
      <c r="AU100" s="112">
        <v>0</v>
      </c>
      <c r="AV100" s="115"/>
      <c r="AW100" s="112">
        <v>0.3</v>
      </c>
      <c r="AX100" s="112">
        <v>0</v>
      </c>
      <c r="AY100" s="115"/>
      <c r="AZ100" s="112">
        <v>0.3</v>
      </c>
      <c r="BA100" s="112">
        <v>0</v>
      </c>
      <c r="BB100" s="115"/>
      <c r="BC100" s="112">
        <v>0.3</v>
      </c>
      <c r="BD100" s="112">
        <v>0</v>
      </c>
      <c r="BE100" s="115"/>
      <c r="BF100" s="112">
        <v>0</v>
      </c>
      <c r="BG100" s="112">
        <v>0</v>
      </c>
      <c r="BH100" s="115"/>
      <c r="BI100" s="112">
        <v>0</v>
      </c>
      <c r="BJ100" s="112">
        <v>0</v>
      </c>
      <c r="BK100" s="115"/>
      <c r="BL100" s="112">
        <v>0.3</v>
      </c>
      <c r="BM100" s="112">
        <v>0</v>
      </c>
      <c r="BN100" s="115"/>
      <c r="BO100" s="112">
        <v>0</v>
      </c>
      <c r="BP100" s="112">
        <v>0</v>
      </c>
      <c r="BQ100" s="115"/>
      <c r="BR100" s="112">
        <v>0.3</v>
      </c>
      <c r="BS100" s="112">
        <v>0</v>
      </c>
      <c r="BT100" s="115"/>
      <c r="BU100" s="112">
        <v>0.3</v>
      </c>
      <c r="BV100" s="112">
        <v>0</v>
      </c>
      <c r="BW100" s="115"/>
      <c r="BX100" s="112">
        <v>0.3</v>
      </c>
      <c r="BY100" s="112"/>
      <c r="BZ100" s="115"/>
      <c r="CA100" s="116">
        <v>0.3</v>
      </c>
      <c r="CB100" s="112"/>
      <c r="CC100" s="115"/>
      <c r="CD100" s="116">
        <v>0.3</v>
      </c>
      <c r="CE100" s="112"/>
      <c r="CF100" s="115"/>
      <c r="CG100" s="116">
        <v>0.3</v>
      </c>
      <c r="CH100" s="112"/>
      <c r="CI100" s="115"/>
      <c r="CJ100" s="116">
        <v>0.3</v>
      </c>
      <c r="CK100" s="112"/>
      <c r="CL100" s="115"/>
      <c r="CM100" s="116">
        <v>0.3</v>
      </c>
      <c r="CN100" s="112"/>
      <c r="CO100" s="115"/>
      <c r="CP100" s="92"/>
      <c r="CQ100" s="112"/>
    </row>
    <row r="101" spans="1:95" ht="12" x14ac:dyDescent="0.25">
      <c r="A101" s="111" t="s">
        <v>154</v>
      </c>
      <c r="B101" s="159"/>
      <c r="C101" s="112"/>
      <c r="D101" s="112">
        <v>1</v>
      </c>
      <c r="E101" s="112">
        <v>0</v>
      </c>
      <c r="F101" s="112"/>
      <c r="G101" s="112">
        <v>1</v>
      </c>
      <c r="H101" s="112"/>
      <c r="I101" s="112"/>
      <c r="J101" s="112">
        <v>0</v>
      </c>
      <c r="K101" s="112">
        <v>0</v>
      </c>
      <c r="L101" s="114"/>
      <c r="M101" s="112">
        <v>0.5</v>
      </c>
      <c r="N101" s="112">
        <v>0</v>
      </c>
      <c r="O101" s="114"/>
      <c r="P101" s="112">
        <v>0</v>
      </c>
      <c r="Q101" s="112">
        <v>0</v>
      </c>
      <c r="R101" s="114"/>
      <c r="S101" s="112">
        <v>0</v>
      </c>
      <c r="T101" s="112">
        <v>0</v>
      </c>
      <c r="U101" s="114"/>
      <c r="V101" s="112">
        <v>0</v>
      </c>
      <c r="W101" s="112">
        <v>0.8</v>
      </c>
      <c r="X101" s="115"/>
      <c r="Y101" s="112">
        <v>0.5</v>
      </c>
      <c r="Z101" s="112">
        <v>0</v>
      </c>
      <c r="AA101" s="115"/>
      <c r="AB101" s="112">
        <v>0.5</v>
      </c>
      <c r="AC101" s="112">
        <v>0</v>
      </c>
      <c r="AD101" s="115"/>
      <c r="AE101" s="112">
        <v>0.5</v>
      </c>
      <c r="AF101" s="112"/>
      <c r="AG101" s="115"/>
      <c r="AH101" s="112">
        <v>0.5</v>
      </c>
      <c r="AI101" s="112">
        <v>0.1</v>
      </c>
      <c r="AJ101" s="115"/>
      <c r="AK101" s="112">
        <v>0.5</v>
      </c>
      <c r="AL101" s="112">
        <v>0</v>
      </c>
      <c r="AM101" s="115"/>
      <c r="AN101" s="112">
        <v>0.5</v>
      </c>
      <c r="AO101" s="112">
        <v>0</v>
      </c>
      <c r="AP101" s="115"/>
      <c r="AQ101" s="112">
        <v>0.3</v>
      </c>
      <c r="AR101" s="112">
        <v>0</v>
      </c>
      <c r="AS101" s="115"/>
      <c r="AT101" s="112">
        <v>0.3</v>
      </c>
      <c r="AU101" s="112">
        <v>0</v>
      </c>
      <c r="AV101" s="115"/>
      <c r="AW101" s="112">
        <v>0.3</v>
      </c>
      <c r="AX101" s="112">
        <v>0</v>
      </c>
      <c r="AY101" s="115"/>
      <c r="AZ101" s="112">
        <v>0.3</v>
      </c>
      <c r="BA101" s="112">
        <v>0</v>
      </c>
      <c r="BB101" s="115"/>
      <c r="BC101" s="112">
        <v>0.3</v>
      </c>
      <c r="BD101" s="112">
        <v>0</v>
      </c>
      <c r="BE101" s="115"/>
      <c r="BF101" s="112">
        <v>0</v>
      </c>
      <c r="BG101" s="112">
        <v>0</v>
      </c>
      <c r="BH101" s="115"/>
      <c r="BI101" s="112">
        <v>0</v>
      </c>
      <c r="BJ101" s="112">
        <v>0</v>
      </c>
      <c r="BK101" s="115"/>
      <c r="BL101" s="112">
        <v>0.3</v>
      </c>
      <c r="BM101" s="112">
        <v>0</v>
      </c>
      <c r="BN101" s="115"/>
      <c r="BO101" s="112">
        <v>0.3</v>
      </c>
      <c r="BP101" s="112">
        <v>0</v>
      </c>
      <c r="BQ101" s="115"/>
      <c r="BR101" s="112">
        <v>0.3</v>
      </c>
      <c r="BS101" s="112">
        <v>0</v>
      </c>
      <c r="BT101" s="115"/>
      <c r="BU101" s="112">
        <v>0.3</v>
      </c>
      <c r="BV101" s="112">
        <v>0</v>
      </c>
      <c r="BW101" s="115"/>
      <c r="BX101" s="112">
        <v>0.3</v>
      </c>
      <c r="BY101" s="112"/>
      <c r="BZ101" s="115"/>
      <c r="CA101" s="116">
        <v>0.3</v>
      </c>
      <c r="CB101" s="112"/>
      <c r="CC101" s="115"/>
      <c r="CD101" s="116">
        <v>0.3</v>
      </c>
      <c r="CE101" s="112"/>
      <c r="CF101" s="115"/>
      <c r="CG101" s="116">
        <v>0.3</v>
      </c>
      <c r="CH101" s="112"/>
      <c r="CI101" s="115"/>
      <c r="CJ101" s="116">
        <v>0.3</v>
      </c>
      <c r="CK101" s="112"/>
      <c r="CL101" s="115"/>
      <c r="CM101" s="116">
        <v>0.3</v>
      </c>
      <c r="CN101" s="112"/>
      <c r="CO101" s="115"/>
      <c r="CP101" s="92"/>
      <c r="CQ101" s="112"/>
    </row>
    <row r="102" spans="1:95" ht="12" x14ac:dyDescent="0.25">
      <c r="A102" s="111" t="s">
        <v>155</v>
      </c>
      <c r="B102" s="160"/>
      <c r="C102" s="112"/>
      <c r="D102" s="112">
        <v>1</v>
      </c>
      <c r="E102" s="117">
        <v>0</v>
      </c>
      <c r="F102" s="112"/>
      <c r="G102" s="112">
        <v>1</v>
      </c>
      <c r="H102" s="117"/>
      <c r="I102" s="112"/>
      <c r="J102" s="112">
        <v>0.5</v>
      </c>
      <c r="K102" s="117">
        <v>0</v>
      </c>
      <c r="L102" s="118"/>
      <c r="M102" s="112">
        <v>0.5</v>
      </c>
      <c r="N102" s="117">
        <v>0</v>
      </c>
      <c r="O102" s="118"/>
      <c r="P102" s="112">
        <v>0.5</v>
      </c>
      <c r="Q102" s="117">
        <v>0</v>
      </c>
      <c r="R102" s="118"/>
      <c r="S102" s="112">
        <v>0.5</v>
      </c>
      <c r="T102" s="117">
        <v>0</v>
      </c>
      <c r="U102" s="118"/>
      <c r="V102" s="112">
        <v>0.16</v>
      </c>
      <c r="W102" s="117">
        <v>0</v>
      </c>
      <c r="X102" s="119"/>
      <c r="Y102" s="112">
        <v>0.5</v>
      </c>
      <c r="Z102" s="117">
        <v>0</v>
      </c>
      <c r="AA102" s="119"/>
      <c r="AB102" s="112">
        <v>0.5</v>
      </c>
      <c r="AC102" s="117">
        <v>0</v>
      </c>
      <c r="AD102" s="119"/>
      <c r="AE102" s="112">
        <v>0.5</v>
      </c>
      <c r="AF102" s="120"/>
      <c r="AG102" s="119"/>
      <c r="AH102" s="112">
        <v>0.5</v>
      </c>
      <c r="AI102" s="117">
        <v>0.1</v>
      </c>
      <c r="AJ102" s="119"/>
      <c r="AK102" s="112">
        <v>0.5</v>
      </c>
      <c r="AL102" s="117">
        <v>0</v>
      </c>
      <c r="AM102" s="119"/>
      <c r="AN102" s="112">
        <v>0.5</v>
      </c>
      <c r="AO102" s="117">
        <v>0</v>
      </c>
      <c r="AP102" s="119"/>
      <c r="AQ102" s="112">
        <v>0.3</v>
      </c>
      <c r="AR102" s="117">
        <v>0</v>
      </c>
      <c r="AS102" s="119"/>
      <c r="AT102" s="112">
        <v>0.3</v>
      </c>
      <c r="AU102" s="117">
        <v>0</v>
      </c>
      <c r="AV102" s="119"/>
      <c r="AW102" s="112">
        <v>0.3</v>
      </c>
      <c r="AX102" s="117">
        <v>0</v>
      </c>
      <c r="AY102" s="119"/>
      <c r="AZ102" s="112">
        <v>0.3</v>
      </c>
      <c r="BA102" s="117">
        <v>0</v>
      </c>
      <c r="BB102" s="119"/>
      <c r="BC102" s="112">
        <v>0.3</v>
      </c>
      <c r="BD102" s="117">
        <v>0</v>
      </c>
      <c r="BE102" s="119"/>
      <c r="BF102" s="112">
        <v>0.3</v>
      </c>
      <c r="BG102" s="117">
        <v>0</v>
      </c>
      <c r="BH102" s="119"/>
      <c r="BI102" s="112">
        <v>0.3</v>
      </c>
      <c r="BJ102" s="117">
        <v>0</v>
      </c>
      <c r="BK102" s="119"/>
      <c r="BL102" s="112">
        <v>0.3</v>
      </c>
      <c r="BM102" s="117">
        <v>0</v>
      </c>
      <c r="BN102" s="119"/>
      <c r="BO102" s="112">
        <v>0.3</v>
      </c>
      <c r="BP102" s="117">
        <v>0</v>
      </c>
      <c r="BQ102" s="119"/>
      <c r="BR102" s="112">
        <v>0.3</v>
      </c>
      <c r="BS102" s="117">
        <v>0</v>
      </c>
      <c r="BT102" s="119"/>
      <c r="BU102" s="112">
        <v>0.3</v>
      </c>
      <c r="BV102" s="117">
        <v>0.1</v>
      </c>
      <c r="BW102" s="119"/>
      <c r="BX102" s="112">
        <v>0.3</v>
      </c>
      <c r="BY102" s="117"/>
      <c r="BZ102" s="119"/>
      <c r="CA102" s="116">
        <v>0.3</v>
      </c>
      <c r="CB102" s="120"/>
      <c r="CC102" s="119"/>
      <c r="CD102" s="116">
        <v>0.3</v>
      </c>
      <c r="CE102" s="120"/>
      <c r="CF102" s="119"/>
      <c r="CG102" s="116">
        <v>0.3</v>
      </c>
      <c r="CH102" s="120"/>
      <c r="CI102" s="119"/>
      <c r="CJ102" s="116">
        <v>0.3</v>
      </c>
      <c r="CK102" s="117"/>
      <c r="CL102" s="119"/>
      <c r="CM102" s="116">
        <v>0.3</v>
      </c>
      <c r="CN102" s="117"/>
      <c r="CO102" s="119"/>
      <c r="CP102" s="121"/>
      <c r="CQ102" s="120"/>
    </row>
    <row r="103" spans="1:95" ht="12" x14ac:dyDescent="0.25">
      <c r="B103" s="92"/>
      <c r="C103" s="122"/>
      <c r="D103" s="122">
        <v>12</v>
      </c>
      <c r="E103" s="122">
        <v>5.25</v>
      </c>
      <c r="F103" s="122"/>
      <c r="G103" s="122">
        <v>12.5</v>
      </c>
      <c r="H103" s="122"/>
      <c r="I103" s="122"/>
      <c r="J103" s="122">
        <v>9.25</v>
      </c>
      <c r="K103" s="122">
        <v>3.6274999999999999</v>
      </c>
      <c r="L103" s="123"/>
      <c r="M103" s="122">
        <v>20.375</v>
      </c>
      <c r="N103" s="122">
        <v>3</v>
      </c>
      <c r="O103" s="123"/>
      <c r="P103" s="122">
        <v>10</v>
      </c>
      <c r="Q103" s="122">
        <v>3.75</v>
      </c>
      <c r="R103" s="123"/>
      <c r="S103" s="122">
        <v>13</v>
      </c>
      <c r="T103" s="122">
        <v>2.75</v>
      </c>
      <c r="U103" s="123"/>
      <c r="V103" s="122">
        <v>8.4149999999999991</v>
      </c>
      <c r="W103" s="122">
        <v>5.45</v>
      </c>
      <c r="X103" s="124"/>
      <c r="Y103" s="122">
        <v>12</v>
      </c>
      <c r="Z103" s="122">
        <v>7</v>
      </c>
      <c r="AA103" s="124"/>
      <c r="AB103" s="122">
        <v>13.375</v>
      </c>
      <c r="AC103" s="122">
        <v>6.5750000000000002</v>
      </c>
      <c r="AD103" s="124"/>
      <c r="AE103" s="122">
        <v>17.125</v>
      </c>
      <c r="AF103" s="125"/>
      <c r="AG103" s="124"/>
      <c r="AH103" s="122">
        <v>26.625</v>
      </c>
      <c r="AI103" s="122">
        <v>7.6</v>
      </c>
      <c r="AJ103" s="124"/>
      <c r="AK103" s="122">
        <v>16.75</v>
      </c>
      <c r="AL103" s="122">
        <v>5.2</v>
      </c>
      <c r="AM103" s="124"/>
      <c r="AN103" s="122">
        <v>17.625</v>
      </c>
      <c r="AO103" s="122">
        <v>2.15</v>
      </c>
      <c r="AP103" s="124"/>
      <c r="AQ103" s="122">
        <v>11.15</v>
      </c>
      <c r="AR103" s="122">
        <v>6.4749999999999996</v>
      </c>
      <c r="AS103" s="124"/>
      <c r="AT103" s="122">
        <v>12.324999999999999</v>
      </c>
      <c r="AU103" s="122">
        <v>3.1575000000000002</v>
      </c>
      <c r="AV103" s="126"/>
      <c r="AW103" s="122">
        <v>6.9249999999999998</v>
      </c>
      <c r="AX103" s="122">
        <v>1.0249999999999999</v>
      </c>
      <c r="AY103" s="126"/>
      <c r="AZ103" s="122">
        <v>6.9424999999999999</v>
      </c>
      <c r="BA103" s="122">
        <v>3.15</v>
      </c>
      <c r="BB103" s="126"/>
      <c r="BC103" s="122">
        <v>10.3</v>
      </c>
      <c r="BD103" s="122">
        <v>7.8250000000000002</v>
      </c>
      <c r="BE103" s="126"/>
      <c r="BF103" s="122">
        <v>5.7</v>
      </c>
      <c r="BG103" s="122">
        <v>4.4000000000000004</v>
      </c>
      <c r="BH103" s="126"/>
      <c r="BI103" s="122">
        <v>5.8250000000000002</v>
      </c>
      <c r="BJ103" s="122">
        <v>2.4</v>
      </c>
      <c r="BK103" s="126"/>
      <c r="BL103" s="122">
        <v>6.7249999999999996</v>
      </c>
      <c r="BM103" s="122">
        <v>8.9250000000000007</v>
      </c>
      <c r="BN103" s="126"/>
      <c r="BO103" s="122">
        <v>6.7750000000000004</v>
      </c>
      <c r="BP103" s="122">
        <v>8.9250000000000007</v>
      </c>
      <c r="BQ103" s="126"/>
      <c r="BR103" s="122">
        <v>6.85</v>
      </c>
      <c r="BS103" s="122">
        <v>4.0250000000000004</v>
      </c>
      <c r="BT103" s="126"/>
      <c r="BU103" s="122">
        <v>13.53</v>
      </c>
      <c r="BV103" s="122">
        <v>2.5750000000000002</v>
      </c>
      <c r="BW103" s="126"/>
      <c r="BX103" s="122">
        <v>12.975</v>
      </c>
      <c r="BY103" s="122"/>
      <c r="BZ103" s="126"/>
      <c r="CA103" s="127">
        <v>6.375</v>
      </c>
      <c r="CB103" s="128"/>
      <c r="CC103" s="126"/>
      <c r="CD103" s="127">
        <v>6.5750000000000002</v>
      </c>
      <c r="CE103" s="129"/>
      <c r="CF103" s="126"/>
      <c r="CG103" s="127">
        <v>7.95</v>
      </c>
      <c r="CH103" s="129"/>
      <c r="CI103" s="126"/>
      <c r="CJ103" s="127">
        <v>5.4249999999999998</v>
      </c>
      <c r="CK103" s="122"/>
      <c r="CL103" s="126"/>
      <c r="CM103" s="127">
        <v>7.3</v>
      </c>
      <c r="CN103" s="128"/>
      <c r="CO103" s="126"/>
      <c r="CP103" s="130"/>
      <c r="CQ103" s="129"/>
    </row>
  </sheetData>
  <mergeCells count="37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BH1:BJ1"/>
    <mergeCell ref="AM1:AO1"/>
    <mergeCell ref="AP1:AR1"/>
    <mergeCell ref="AS1:AU1"/>
    <mergeCell ref="AV1:AX1"/>
    <mergeCell ref="AY1:BA1"/>
    <mergeCell ref="BK1:BM1"/>
    <mergeCell ref="BB1:BD1"/>
    <mergeCell ref="B95:B102"/>
    <mergeCell ref="CO1:CQ1"/>
    <mergeCell ref="B7:B26"/>
    <mergeCell ref="B27:B30"/>
    <mergeCell ref="B31:B46"/>
    <mergeCell ref="B47:B78"/>
    <mergeCell ref="B79:B94"/>
    <mergeCell ref="BW1:BY1"/>
    <mergeCell ref="BZ1:CB1"/>
    <mergeCell ref="CC1:CE1"/>
    <mergeCell ref="CF1:CH1"/>
    <mergeCell ref="CI1:CK1"/>
    <mergeCell ref="CL1:CN1"/>
    <mergeCell ref="BE1:BG1"/>
    <mergeCell ref="BN1:BP1"/>
    <mergeCell ref="BQ1:BS1"/>
  </mergeCells>
  <pageMargins left="0.7" right="0.7" top="0.75" bottom="0.75" header="0.3" footer="0.3"/>
  <pageSetup paperSize="9" orientation="portrait" horizontalDpi="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74"/>
  <sheetViews>
    <sheetView workbookViewId="0">
      <selection sqref="A1:XFD1048576"/>
    </sheetView>
  </sheetViews>
  <sheetFormatPr defaultColWidth="8.7265625" defaultRowHeight="11.5" x14ac:dyDescent="0.25"/>
  <cols>
    <col min="1" max="1" width="10.453125" style="79" bestFit="1" customWidth="1"/>
    <col min="2" max="2" width="13.7265625" style="79" customWidth="1"/>
    <col min="3" max="3" width="15.81640625" style="79" bestFit="1" customWidth="1"/>
    <col min="4" max="4" width="21.26953125" style="79" bestFit="1" customWidth="1"/>
    <col min="5" max="5" width="19" style="79" bestFit="1" customWidth="1"/>
    <col min="6" max="6" width="19.26953125" style="79" bestFit="1" customWidth="1"/>
    <col min="7" max="7" width="19.453125" style="79" customWidth="1"/>
    <col min="8" max="8" width="11.54296875" style="79" bestFit="1" customWidth="1"/>
    <col min="9" max="9" width="16.26953125" style="79" bestFit="1" customWidth="1"/>
    <col min="10" max="10" width="8.7265625" style="79"/>
    <col min="11" max="11" width="12" style="79" bestFit="1" customWidth="1"/>
    <col min="12" max="16384" width="8.7265625" style="79"/>
  </cols>
  <sheetData>
    <row r="1" spans="1:9" ht="22.5" customHeight="1" x14ac:dyDescent="0.25">
      <c r="A1" s="167" t="s">
        <v>165</v>
      </c>
      <c r="B1" s="167"/>
      <c r="C1" s="167"/>
      <c r="D1" s="167"/>
      <c r="E1" s="167"/>
      <c r="F1" s="167"/>
      <c r="G1" s="167"/>
      <c r="H1" s="167"/>
      <c r="I1" s="167"/>
    </row>
    <row r="2" spans="1:9" ht="24" customHeight="1" x14ac:dyDescent="0.25">
      <c r="A2" s="168" t="s">
        <v>20</v>
      </c>
      <c r="B2" s="81" t="s">
        <v>21</v>
      </c>
      <c r="C2" s="168" t="s">
        <v>22</v>
      </c>
      <c r="D2" s="166" t="s">
        <v>33</v>
      </c>
      <c r="E2" s="169" t="s">
        <v>23</v>
      </c>
      <c r="F2" s="166" t="s">
        <v>24</v>
      </c>
      <c r="G2" s="166" t="s">
        <v>34</v>
      </c>
      <c r="H2" s="166" t="s">
        <v>25</v>
      </c>
      <c r="I2" s="166" t="s">
        <v>27</v>
      </c>
    </row>
    <row r="3" spans="1:9" ht="24" customHeight="1" x14ac:dyDescent="0.25">
      <c r="A3" s="168"/>
      <c r="B3" s="80" t="s">
        <v>26</v>
      </c>
      <c r="C3" s="168"/>
      <c r="D3" s="166"/>
      <c r="E3" s="170"/>
      <c r="F3" s="166"/>
      <c r="G3" s="166"/>
      <c r="H3" s="166"/>
      <c r="I3" s="166"/>
    </row>
    <row r="4" spans="1:9" x14ac:dyDescent="0.25">
      <c r="A4" s="83">
        <v>44896</v>
      </c>
      <c r="B4" s="84">
        <f>'Energy Schedule'!D3</f>
        <v>3.4299999999999997E-2</v>
      </c>
      <c r="C4" s="85">
        <f>'01'!$B$44</f>
        <v>110442.8186582186</v>
      </c>
      <c r="D4" s="85">
        <f>'01'!$B$46</f>
        <v>155363.7728234407</v>
      </c>
      <c r="E4" s="86">
        <f t="shared" ref="E4:E12" si="0">D4-C4</f>
        <v>44920.954165222094</v>
      </c>
      <c r="F4" s="87">
        <f>'01'!$B$45</f>
        <v>6.9237572538824796</v>
      </c>
      <c r="G4" s="87">
        <f>'01'!$B$47</f>
        <v>9.7398913043478252</v>
      </c>
      <c r="H4" s="87">
        <f t="shared" ref="H4" si="1">G4-F4</f>
        <v>2.8161340504653456</v>
      </c>
      <c r="I4" s="88"/>
    </row>
    <row r="5" spans="1:9" x14ac:dyDescent="0.25">
      <c r="A5" s="83">
        <f>A4+1</f>
        <v>44897</v>
      </c>
      <c r="B5" s="84">
        <f>'Energy Schedule'!G3</f>
        <v>3.4299999999999997E-2</v>
      </c>
      <c r="C5" s="85">
        <f>'02'!$B$44</f>
        <v>91934.958737839566</v>
      </c>
      <c r="D5" s="85">
        <f>'02'!$B$46</f>
        <v>113273.18895095478</v>
      </c>
      <c r="E5" s="86">
        <f t="shared" si="0"/>
        <v>21338.23021311521</v>
      </c>
      <c r="F5" s="87">
        <f>'02'!$B$45</f>
        <v>7.9536069103285865</v>
      </c>
      <c r="G5" s="87">
        <f>'02'!$B$47</f>
        <v>9.7996500000000015</v>
      </c>
      <c r="H5" s="87">
        <f t="shared" ref="H5:H12" si="2">G5-F5</f>
        <v>1.8460430896714151</v>
      </c>
      <c r="I5" s="88"/>
    </row>
    <row r="6" spans="1:9" x14ac:dyDescent="0.25">
      <c r="A6" s="83">
        <f t="shared" ref="A6:A12" si="3">A5+1</f>
        <v>44898</v>
      </c>
      <c r="B6" s="84">
        <f>'Energy Schedule'!J3</f>
        <v>3.4299999999999997E-2</v>
      </c>
      <c r="C6" s="85">
        <f>'03'!$B$44</f>
        <v>99210.45006572234</v>
      </c>
      <c r="D6" s="85">
        <f>'03'!$B$46</f>
        <v>122016.26979211453</v>
      </c>
      <c r="E6" s="86">
        <f t="shared" si="0"/>
        <v>22805.81972639219</v>
      </c>
      <c r="F6" s="87">
        <f>'03'!$B$45</f>
        <v>8.3314254367620286</v>
      </c>
      <c r="G6" s="87">
        <f>'03'!$B$47</f>
        <v>10.246596534653467</v>
      </c>
      <c r="H6" s="87">
        <f t="shared" si="2"/>
        <v>1.915171097891438</v>
      </c>
      <c r="I6" s="88"/>
    </row>
    <row r="7" spans="1:9" x14ac:dyDescent="0.25">
      <c r="A7" s="83">
        <f t="shared" si="3"/>
        <v>44899</v>
      </c>
      <c r="B7" s="84">
        <f>'Energy Schedule'!M3</f>
        <v>3.4299999999999997E-2</v>
      </c>
      <c r="C7" s="85">
        <f>'04'!$B$44</f>
        <v>180092.62943976</v>
      </c>
      <c r="D7" s="85">
        <f>'04'!$B$46</f>
        <v>217210.10868509585</v>
      </c>
      <c r="E7" s="86">
        <f t="shared" si="0"/>
        <v>37117.479245335853</v>
      </c>
      <c r="F7" s="87">
        <f>'04'!$B$45</f>
        <v>8.3317795436931288</v>
      </c>
      <c r="G7" s="87">
        <f>'04'!$B$47</f>
        <v>10.048977272727273</v>
      </c>
      <c r="H7" s="87">
        <f t="shared" si="2"/>
        <v>1.7171977290341438</v>
      </c>
      <c r="I7" s="88"/>
    </row>
    <row r="8" spans="1:9" x14ac:dyDescent="0.25">
      <c r="A8" s="83">
        <f t="shared" si="3"/>
        <v>44900</v>
      </c>
      <c r="B8" s="84">
        <f>'Energy Schedule'!P3</f>
        <v>3.61E-2</v>
      </c>
      <c r="C8" s="85">
        <f>'05'!$B$44</f>
        <v>105620.59314293147</v>
      </c>
      <c r="D8" s="85">
        <f>'05'!$B$46</f>
        <v>129949.28399215074</v>
      </c>
      <c r="E8" s="86">
        <f t="shared" si="0"/>
        <v>24328.690849219274</v>
      </c>
      <c r="F8" s="87">
        <f>'05'!$B$45</f>
        <v>8.3224195500782265</v>
      </c>
      <c r="G8" s="87">
        <f>'05'!$B$47</f>
        <v>10.23940909090909</v>
      </c>
      <c r="H8" s="87">
        <f t="shared" si="2"/>
        <v>1.9169895408308637</v>
      </c>
      <c r="I8" s="88"/>
    </row>
    <row r="9" spans="1:9" x14ac:dyDescent="0.25">
      <c r="A9" s="83">
        <f t="shared" si="3"/>
        <v>44901</v>
      </c>
      <c r="B9" s="84">
        <f>'Energy Schedule'!S3</f>
        <v>3.61E-2</v>
      </c>
      <c r="C9" s="85">
        <f>'06'!$B$44</f>
        <v>124711.24244735787</v>
      </c>
      <c r="D9" s="85">
        <f>'06'!$B$46</f>
        <v>147454.33809568928</v>
      </c>
      <c r="E9" s="86">
        <f t="shared" si="0"/>
        <v>22743.095648331408</v>
      </c>
      <c r="F9" s="87">
        <f>'06'!$B$45</f>
        <v>8.5788435857125922</v>
      </c>
      <c r="G9" s="87">
        <f>'06'!$B$47</f>
        <v>10.143333333333333</v>
      </c>
      <c r="H9" s="87">
        <f>G9-F9</f>
        <v>1.5644897476207404</v>
      </c>
      <c r="I9" s="88"/>
    </row>
    <row r="10" spans="1:9" x14ac:dyDescent="0.25">
      <c r="A10" s="83">
        <f t="shared" si="3"/>
        <v>44902</v>
      </c>
      <c r="B10" s="84">
        <f>'Energy Schedule'!V3</f>
        <v>3.61E-2</v>
      </c>
      <c r="C10" s="85">
        <f>'07'!$B$44</f>
        <v>106544.88758343599</v>
      </c>
      <c r="D10" s="85">
        <f>'07'!$B$46</f>
        <v>128532.40431882905</v>
      </c>
      <c r="E10" s="86">
        <f t="shared" si="0"/>
        <v>21987.516735393059</v>
      </c>
      <c r="F10" s="87">
        <f>'07'!$B$45</f>
        <v>8.3256172880583232</v>
      </c>
      <c r="G10" s="87">
        <f>'07'!$B$47</f>
        <v>10.043763072484676</v>
      </c>
      <c r="H10" s="87">
        <f>G10-F10</f>
        <v>1.718145784426353</v>
      </c>
      <c r="I10" s="88"/>
    </row>
    <row r="11" spans="1:9" x14ac:dyDescent="0.25">
      <c r="A11" s="83">
        <f t="shared" si="3"/>
        <v>44903</v>
      </c>
      <c r="B11" s="84">
        <f>'Energy Schedule'!Y3</f>
        <v>3.61E-2</v>
      </c>
      <c r="C11" s="85">
        <f>'08'!$B$44</f>
        <v>152711.99089205076</v>
      </c>
      <c r="D11" s="85">
        <f>'08'!$B$46</f>
        <v>176955.50280547625</v>
      </c>
      <c r="E11" s="86">
        <f t="shared" si="0"/>
        <v>24243.511913425493</v>
      </c>
      <c r="F11" s="87">
        <f>'08'!$B$45</f>
        <v>8.7080966359207288</v>
      </c>
      <c r="G11" s="87">
        <f>'07'!$B$47</f>
        <v>10.043763072484676</v>
      </c>
      <c r="H11" s="87">
        <f t="shared" si="2"/>
        <v>1.3356664365639475</v>
      </c>
      <c r="I11" s="88"/>
    </row>
    <row r="12" spans="1:9" x14ac:dyDescent="0.25">
      <c r="A12" s="83">
        <f t="shared" si="3"/>
        <v>44904</v>
      </c>
      <c r="B12" s="84">
        <f>'Energy Schedule'!AB3</f>
        <v>3.61E-2</v>
      </c>
      <c r="C12" s="85">
        <f>'09'!$B$44</f>
        <v>155993.69782665328</v>
      </c>
      <c r="D12" s="85">
        <f>'09'!$B$46</f>
        <v>186222.88438970255</v>
      </c>
      <c r="E12" s="86">
        <f t="shared" si="0"/>
        <v>30229.186563049268</v>
      </c>
      <c r="F12" s="87">
        <f>'09'!$B$45</f>
        <v>8.4716470735228473</v>
      </c>
      <c r="G12" s="87">
        <f>'09'!$B$47</f>
        <v>10.113322368421052</v>
      </c>
      <c r="H12" s="87">
        <f t="shared" si="2"/>
        <v>1.6416752948982047</v>
      </c>
      <c r="I12" s="82"/>
    </row>
    <row r="13" spans="1:9" x14ac:dyDescent="0.25">
      <c r="A13" s="83">
        <f>A12+1</f>
        <v>44905</v>
      </c>
      <c r="B13" s="84">
        <f>'Energy Schedule'!AE3</f>
        <v>3.61E-2</v>
      </c>
      <c r="C13" s="85">
        <f>'10'!$B$44</f>
        <v>131820.356731651</v>
      </c>
      <c r="D13" s="85">
        <f>'10'!$B$46</f>
        <v>158729.65235649794</v>
      </c>
      <c r="E13" s="86">
        <f t="shared" ref="E13" si="4">D13-C13</f>
        <v>26909.295624846942</v>
      </c>
      <c r="F13" s="87">
        <f>'10'!$B$45</f>
        <v>8.3397993936979944</v>
      </c>
      <c r="G13" s="87">
        <f>'10'!$B$47</f>
        <v>10.042253649635038</v>
      </c>
      <c r="H13" s="87">
        <f t="shared" ref="H13" si="5">G13-F13</f>
        <v>1.7024542559370435</v>
      </c>
      <c r="I13" s="88"/>
    </row>
    <row r="14" spans="1:9" x14ac:dyDescent="0.25">
      <c r="A14" s="83">
        <f t="shared" ref="A14:A19" si="6">A13+1</f>
        <v>44906</v>
      </c>
      <c r="B14" s="84">
        <f>'Energy Schedule'!AH3</f>
        <v>3.61E-2</v>
      </c>
      <c r="C14" s="85">
        <f>'11'!$B$44</f>
        <v>249454.17505449668</v>
      </c>
      <c r="D14" s="85">
        <f>'11'!$B$46</f>
        <v>308881.828202262</v>
      </c>
      <c r="E14" s="86">
        <f t="shared" ref="E14" si="7">D14-C14</f>
        <v>59427.653147765319</v>
      </c>
      <c r="F14" s="87">
        <f>'11'!$B$45</f>
        <v>7.8967978742048732</v>
      </c>
      <c r="G14" s="87">
        <f>'11'!$B$47</f>
        <v>9.7780578889700518</v>
      </c>
      <c r="H14" s="87">
        <f t="shared" ref="H14" si="8">G14-F14</f>
        <v>1.8812600147651786</v>
      </c>
      <c r="I14" s="88"/>
    </row>
    <row r="15" spans="1:9" x14ac:dyDescent="0.25">
      <c r="A15" s="83">
        <f t="shared" si="6"/>
        <v>44907</v>
      </c>
      <c r="B15" s="84">
        <f>'Energy Schedule'!AK3</f>
        <v>3.8199999999999998E-2</v>
      </c>
      <c r="C15" s="85">
        <f>'12'!$B$44</f>
        <v>167305.3175636463</v>
      </c>
      <c r="D15" s="85">
        <f>'12'!$B$46</f>
        <v>206223.22833602782</v>
      </c>
      <c r="E15" s="86">
        <f t="shared" ref="E15:E33" si="9">D15-C15</f>
        <v>38917.910772381525</v>
      </c>
      <c r="F15" s="87">
        <f>'12'!$B$45</f>
        <v>8.2426843811221921</v>
      </c>
      <c r="G15" s="87">
        <f>'12'!$B$47</f>
        <v>10.16006548974943</v>
      </c>
      <c r="H15" s="87">
        <f t="shared" ref="H15:H19" si="10">G15-F15</f>
        <v>1.9173811086272377</v>
      </c>
      <c r="I15" s="88"/>
    </row>
    <row r="16" spans="1:9" x14ac:dyDescent="0.25">
      <c r="A16" s="83">
        <f t="shared" si="6"/>
        <v>44908</v>
      </c>
      <c r="B16" s="84">
        <f>'Energy Schedule'!AN3</f>
        <v>3.8199999999999998E-2</v>
      </c>
      <c r="C16" s="85">
        <f>'13'!$B$44</f>
        <v>144289.10766326223</v>
      </c>
      <c r="D16" s="85">
        <f>'13'!$B$46</f>
        <v>179658.7054263094</v>
      </c>
      <c r="E16" s="86">
        <f t="shared" si="9"/>
        <v>35369.597763047175</v>
      </c>
      <c r="F16" s="87">
        <f>'13'!$B$45</f>
        <v>7.890608683008133</v>
      </c>
      <c r="G16" s="87">
        <f>'13'!$B$47</f>
        <v>9.8248340707964594</v>
      </c>
      <c r="H16" s="87">
        <f t="shared" si="10"/>
        <v>1.9342253877883264</v>
      </c>
      <c r="I16" s="88"/>
    </row>
    <row r="17" spans="1:9" x14ac:dyDescent="0.25">
      <c r="A17" s="83">
        <f t="shared" si="6"/>
        <v>44909</v>
      </c>
      <c r="B17" s="84">
        <f>'Energy Schedule'!AQ3</f>
        <v>3.8199999999999998E-2</v>
      </c>
      <c r="C17" s="85">
        <f>'14'!$B$44</f>
        <v>130856.25182035379</v>
      </c>
      <c r="D17" s="85">
        <f>'14'!$B$46</f>
        <v>161574.19720854767</v>
      </c>
      <c r="E17" s="86">
        <f t="shared" si="9"/>
        <v>30717.945388193883</v>
      </c>
      <c r="F17" s="87">
        <f>'14'!$B$45</f>
        <v>8.028950888132</v>
      </c>
      <c r="G17" s="87">
        <f>'14'!$B$47</f>
        <v>9.9137127659574471</v>
      </c>
      <c r="H17" s="87">
        <f t="shared" si="10"/>
        <v>1.8847618778254471</v>
      </c>
      <c r="I17" s="88"/>
    </row>
    <row r="18" spans="1:9" x14ac:dyDescent="0.25">
      <c r="A18" s="83">
        <f t="shared" si="6"/>
        <v>44910</v>
      </c>
      <c r="B18" s="84">
        <f>'Energy Schedule'!AT3</f>
        <v>3.8199999999999998E-2</v>
      </c>
      <c r="C18" s="85">
        <f>'15'!$B$44</f>
        <v>117683.50857468809</v>
      </c>
      <c r="D18" s="85">
        <f>'15'!$B$46</f>
        <v>141214.94052414794</v>
      </c>
      <c r="E18" s="86">
        <f t="shared" si="9"/>
        <v>23531.431949459846</v>
      </c>
      <c r="F18" s="87">
        <f>'15'!$B$45</f>
        <v>8.2199271727413574</v>
      </c>
      <c r="G18" s="87">
        <f>'15'!$B$47</f>
        <v>9.8635445260778312</v>
      </c>
      <c r="H18" s="87">
        <f t="shared" si="10"/>
        <v>1.6436173533364737</v>
      </c>
      <c r="I18" s="88"/>
    </row>
    <row r="19" spans="1:9" x14ac:dyDescent="0.25">
      <c r="A19" s="83">
        <f t="shared" si="6"/>
        <v>44911</v>
      </c>
      <c r="B19" s="84">
        <f>'Energy Schedule'!AW3</f>
        <v>3.8199999999999998E-2</v>
      </c>
      <c r="C19" s="85">
        <f>'16'!$B$44</f>
        <v>61948.301677265968</v>
      </c>
      <c r="D19" s="85">
        <f>'16'!$B$46</f>
        <v>73483.144344048342</v>
      </c>
      <c r="E19" s="86">
        <f t="shared" si="9"/>
        <v>11534.842666782373</v>
      </c>
      <c r="F19" s="87">
        <f>'16'!$B$45</f>
        <v>8.4266649537075491</v>
      </c>
      <c r="G19" s="87">
        <f>'16'!$B$47</f>
        <v>9.9957193396226423</v>
      </c>
      <c r="H19" s="87">
        <f t="shared" si="10"/>
        <v>1.5690543859150932</v>
      </c>
      <c r="I19" s="88"/>
    </row>
    <row r="20" spans="1:9" x14ac:dyDescent="0.25">
      <c r="A20" s="83">
        <f t="shared" ref="A20:A26" si="11">A19+1</f>
        <v>44912</v>
      </c>
      <c r="B20" s="84">
        <f>'Energy Schedule'!AZ3</f>
        <v>3.8199999999999998E-2</v>
      </c>
      <c r="C20" s="85">
        <f>'17'!$B$44</f>
        <v>76854.303422931669</v>
      </c>
      <c r="D20" s="85">
        <f>'17'!$B$46</f>
        <v>91670.815757575954</v>
      </c>
      <c r="E20" s="86">
        <f t="shared" si="9"/>
        <v>14816.512334644285</v>
      </c>
      <c r="F20" s="87">
        <f>'17'!$B$45</f>
        <v>8.2349863418333928</v>
      </c>
      <c r="G20" s="87">
        <f>'17'!$B$47</f>
        <v>9.8225848402278935</v>
      </c>
      <c r="H20" s="87">
        <f t="shared" ref="H20:H26" si="12">G20-F20</f>
        <v>1.5875984983945006</v>
      </c>
      <c r="I20" s="88"/>
    </row>
    <row r="21" spans="1:9" x14ac:dyDescent="0.25">
      <c r="A21" s="83">
        <f t="shared" si="11"/>
        <v>44913</v>
      </c>
      <c r="B21" s="84">
        <f>'Energy Schedule'!BC3</f>
        <v>3.8199999999999998E-2</v>
      </c>
      <c r="C21" s="85">
        <f>'18'!$B$44</f>
        <v>146296.21476986737</v>
      </c>
      <c r="D21" s="85">
        <f>'18'!$B$46</f>
        <v>170745.4053121359</v>
      </c>
      <c r="E21" s="86">
        <f t="shared" si="9"/>
        <v>24449.190542268538</v>
      </c>
      <c r="F21" s="87">
        <f>'18'!$B$45</f>
        <v>8.7286790478772094</v>
      </c>
      <c r="G21" s="87">
        <f>'18'!$B$47</f>
        <v>10.187425862068965</v>
      </c>
      <c r="H21" s="87">
        <f t="shared" si="12"/>
        <v>1.4587468141917554</v>
      </c>
      <c r="I21" s="88"/>
    </row>
    <row r="22" spans="1:9" x14ac:dyDescent="0.25">
      <c r="A22" s="83">
        <f t="shared" si="11"/>
        <v>44914</v>
      </c>
      <c r="B22" s="84">
        <f>'Energy Schedule'!BF3</f>
        <v>4.1799999999999997E-2</v>
      </c>
      <c r="C22" s="85">
        <f>'19'!$B$44</f>
        <v>79100.028520174383</v>
      </c>
      <c r="D22" s="85">
        <f>'19'!$B$46</f>
        <v>94414.956764948816</v>
      </c>
      <c r="E22" s="86">
        <f t="shared" si="9"/>
        <v>15314.928244774434</v>
      </c>
      <c r="F22" s="87">
        <f>'19'!$B$45</f>
        <v>8.4693234055676019</v>
      </c>
      <c r="G22" s="87">
        <f>'19'!$B$47</f>
        <v>10.10910891089109</v>
      </c>
      <c r="H22" s="87">
        <f t="shared" si="12"/>
        <v>1.6397855053234878</v>
      </c>
      <c r="I22" s="88"/>
    </row>
    <row r="23" spans="1:9" x14ac:dyDescent="0.25">
      <c r="A23" s="83">
        <f t="shared" si="11"/>
        <v>44915</v>
      </c>
      <c r="B23" s="84">
        <f>'Energy Schedule'!BI3</f>
        <v>4.1799999999999997E-2</v>
      </c>
      <c r="C23" s="85">
        <f>'20'!$B$44</f>
        <v>62783.115809498428</v>
      </c>
      <c r="D23" s="85">
        <f>'20'!$B$46</f>
        <v>77197.019391620619</v>
      </c>
      <c r="E23" s="86">
        <f t="shared" si="9"/>
        <v>14413.903582122191</v>
      </c>
      <c r="F23" s="87">
        <f>'20'!$B$45</f>
        <v>8.2546831748474183</v>
      </c>
      <c r="G23" s="87">
        <f>'20'!$B$47</f>
        <v>10.149813829787234</v>
      </c>
      <c r="H23" s="87">
        <f t="shared" si="12"/>
        <v>1.8951306549398161</v>
      </c>
      <c r="I23" s="88"/>
    </row>
    <row r="24" spans="1:9" x14ac:dyDescent="0.25">
      <c r="A24" s="83">
        <f t="shared" si="11"/>
        <v>44916</v>
      </c>
      <c r="B24" s="84">
        <f>'Energy Schedule'!BL3</f>
        <v>4.1799999999999997E-2</v>
      </c>
      <c r="C24" s="85">
        <f>'21'!$B$44</f>
        <v>119433.33047977513</v>
      </c>
      <c r="D24" s="85">
        <f>'21'!$B$46</f>
        <v>143004.82197068626</v>
      </c>
      <c r="E24" s="86">
        <f t="shared" si="9"/>
        <v>23571.491490911125</v>
      </c>
      <c r="F24" s="87">
        <f>'21'!$B$45</f>
        <v>8.2528633055639524</v>
      </c>
      <c r="G24" s="87">
        <f>'21'!$B$47</f>
        <v>9.8816573482428129</v>
      </c>
      <c r="H24" s="87">
        <f t="shared" si="12"/>
        <v>1.6287940426788605</v>
      </c>
      <c r="I24" s="88"/>
    </row>
    <row r="25" spans="1:9" x14ac:dyDescent="0.25">
      <c r="A25" s="83">
        <f t="shared" si="11"/>
        <v>44917</v>
      </c>
      <c r="B25" s="84">
        <f>'Energy Schedule'!BO3</f>
        <v>4.1799999999999997E-2</v>
      </c>
      <c r="C25" s="85">
        <f>'22'!$B$44</f>
        <v>105283.1310947265</v>
      </c>
      <c r="D25" s="85">
        <f>'22'!$B$46</f>
        <v>143706.33170189435</v>
      </c>
      <c r="E25" s="86">
        <f t="shared" si="9"/>
        <v>38423.200607167848</v>
      </c>
      <c r="F25" s="87">
        <f>'22'!$B$45</f>
        <v>7.2519130870331256</v>
      </c>
      <c r="G25" s="87">
        <f>'22'!$B$47</f>
        <v>9.8985071656050962</v>
      </c>
      <c r="H25" s="87">
        <f t="shared" si="12"/>
        <v>2.6465940785719706</v>
      </c>
      <c r="I25" s="88"/>
    </row>
    <row r="26" spans="1:9" x14ac:dyDescent="0.25">
      <c r="A26" s="83">
        <f t="shared" si="11"/>
        <v>44918</v>
      </c>
      <c r="B26" s="84">
        <f>'Energy Schedule'!BR3</f>
        <v>4.1799999999999997E-2</v>
      </c>
      <c r="C26" s="85">
        <f>'23'!$B$44</f>
        <v>81463.004801920426</v>
      </c>
      <c r="D26" s="85">
        <f>'23'!$B$46</f>
        <v>101791.12526221044</v>
      </c>
      <c r="E26" s="86">
        <f t="shared" si="9"/>
        <v>20328.120460290011</v>
      </c>
      <c r="F26" s="87">
        <f>'23'!$B$45</f>
        <v>8.1007384493871992</v>
      </c>
      <c r="G26" s="87">
        <f>'23'!$B$47</f>
        <v>10.122181034482757</v>
      </c>
      <c r="H26" s="87">
        <f t="shared" si="12"/>
        <v>2.0214425850955582</v>
      </c>
      <c r="I26" s="88"/>
    </row>
    <row r="27" spans="1:9" x14ac:dyDescent="0.25">
      <c r="A27" s="83">
        <f t="shared" ref="A27:A33" si="13">A26+1</f>
        <v>44919</v>
      </c>
      <c r="B27" s="84">
        <f>'Energy Schedule'!BU3</f>
        <v>4.1799999999999997E-2</v>
      </c>
      <c r="C27" s="85">
        <f>'24'!$B$44</f>
        <v>116234.8074458325</v>
      </c>
      <c r="D27" s="85">
        <f>'24'!$B$46</f>
        <v>142963.55669237988</v>
      </c>
      <c r="E27" s="86">
        <f t="shared" si="9"/>
        <v>26728.749246547377</v>
      </c>
      <c r="F27" s="87">
        <f>'24'!$B$45</f>
        <v>7.8049283757791414</v>
      </c>
      <c r="G27" s="87">
        <f>'24'!$B$47</f>
        <v>9.5997089413225716</v>
      </c>
      <c r="H27" s="87">
        <f t="shared" ref="H27:H33" si="14">G27-F27</f>
        <v>1.7947805655434301</v>
      </c>
      <c r="I27" s="88"/>
    </row>
    <row r="28" spans="1:9" x14ac:dyDescent="0.25">
      <c r="A28" s="83">
        <f t="shared" si="13"/>
        <v>44920</v>
      </c>
      <c r="B28" s="84">
        <f>'Energy Schedule'!BX3</f>
        <v>4.1799999999999997E-2</v>
      </c>
      <c r="C28" s="85">
        <f>'25'!$B$44</f>
        <v>95686.671029877471</v>
      </c>
      <c r="D28" s="85">
        <f>'25'!$B$46</f>
        <v>117306.86990540134</v>
      </c>
      <c r="E28" s="86">
        <f t="shared" si="9"/>
        <v>21620.198875523871</v>
      </c>
      <c r="F28" s="87">
        <f>'25'!$B$45</f>
        <v>7.9751255678482833</v>
      </c>
      <c r="G28" s="87">
        <f>'25'!$B$47</f>
        <v>9.7770881502890177</v>
      </c>
      <c r="H28" s="87">
        <f t="shared" si="14"/>
        <v>1.8019625824407344</v>
      </c>
      <c r="I28" s="88"/>
    </row>
    <row r="29" spans="1:9" x14ac:dyDescent="0.25">
      <c r="A29" s="83">
        <f t="shared" si="13"/>
        <v>44921</v>
      </c>
      <c r="B29" s="84">
        <f>'Energy Schedule'!CA3</f>
        <v>4.19E-2</v>
      </c>
      <c r="C29" s="85">
        <f>'26'!$B$44</f>
        <v>46558.264856298178</v>
      </c>
      <c r="D29" s="85">
        <f>'26'!$B$46</f>
        <v>60092.561533634922</v>
      </c>
      <c r="E29" s="86">
        <f t="shared" si="9"/>
        <v>13534.296677336744</v>
      </c>
      <c r="F29" s="87">
        <f>'26'!$B$45</f>
        <v>7.89787122176919</v>
      </c>
      <c r="G29" s="87">
        <f>'26'!$B$47</f>
        <v>10.19375</v>
      </c>
      <c r="H29" s="87">
        <f t="shared" si="14"/>
        <v>2.2958787782308097</v>
      </c>
      <c r="I29" s="88"/>
    </row>
    <row r="30" spans="1:9" x14ac:dyDescent="0.25">
      <c r="A30" s="83">
        <f t="shared" si="13"/>
        <v>44922</v>
      </c>
      <c r="B30" s="84">
        <f>'Energy Schedule'!CD3</f>
        <v>4.19E-2</v>
      </c>
      <c r="C30" s="85">
        <f>'27'!$B$44</f>
        <v>49825.65171610361</v>
      </c>
      <c r="D30" s="85">
        <f>'27'!$B$46</f>
        <v>61970.131696574244</v>
      </c>
      <c r="E30" s="86">
        <f t="shared" si="9"/>
        <v>12144.479980470634</v>
      </c>
      <c r="F30" s="87">
        <f>'27'!$B$45</f>
        <v>8.1950325224604637</v>
      </c>
      <c r="G30" s="87">
        <f>'27'!$B$47</f>
        <v>10.192485741444866</v>
      </c>
      <c r="H30" s="87">
        <f t="shared" si="14"/>
        <v>1.9974532189844023</v>
      </c>
      <c r="I30" s="88"/>
    </row>
    <row r="31" spans="1:9" x14ac:dyDescent="0.25">
      <c r="A31" s="83">
        <f t="shared" si="13"/>
        <v>44923</v>
      </c>
      <c r="B31" s="84">
        <f>'Energy Schedule'!CG3</f>
        <v>4.19E-2</v>
      </c>
      <c r="C31" s="85">
        <f>'28'!$B$44</f>
        <v>60472.879277265958</v>
      </c>
      <c r="D31" s="85">
        <f>'28'!$B$46</f>
        <v>76155.071114385064</v>
      </c>
      <c r="E31" s="86">
        <f t="shared" si="9"/>
        <v>15682.191837119106</v>
      </c>
      <c r="F31" s="87">
        <f>'28'!$B$45</f>
        <v>8.2259671154557878</v>
      </c>
      <c r="G31" s="87">
        <f>'28'!$B$47</f>
        <v>10.359174528301887</v>
      </c>
      <c r="H31" s="87">
        <f t="shared" si="14"/>
        <v>2.1332074128460992</v>
      </c>
      <c r="I31" s="88"/>
    </row>
    <row r="32" spans="1:9" x14ac:dyDescent="0.25">
      <c r="A32" s="83">
        <f t="shared" si="13"/>
        <v>44924</v>
      </c>
      <c r="B32" s="84">
        <f>'Energy Schedule'!CJ3</f>
        <v>4.19E-2</v>
      </c>
      <c r="C32" s="85">
        <f>'29'!$B$44</f>
        <v>40971.879472222368</v>
      </c>
      <c r="D32" s="85">
        <f>'29'!$B$46</f>
        <v>50735.659677668082</v>
      </c>
      <c r="E32" s="86">
        <f t="shared" si="9"/>
        <v>9763.7802054457134</v>
      </c>
      <c r="F32" s="87">
        <f>'29'!$B$45</f>
        <v>8.1673204284527792</v>
      </c>
      <c r="G32" s="87">
        <f>'29'!$B$47</f>
        <v>10.113629032258066</v>
      </c>
      <c r="H32" s="87">
        <f t="shared" si="14"/>
        <v>1.9463086038052868</v>
      </c>
      <c r="I32" s="88"/>
    </row>
    <row r="33" spans="1:11" x14ac:dyDescent="0.25">
      <c r="A33" s="83">
        <f t="shared" si="13"/>
        <v>44925</v>
      </c>
      <c r="B33" s="84">
        <f>'Energy Schedule'!CM3</f>
        <v>4.19E-2</v>
      </c>
      <c r="C33" s="85">
        <f>'30'!$B$44</f>
        <v>57357.128582898309</v>
      </c>
      <c r="D33" s="85">
        <f>'30'!$B$46</f>
        <v>70078.758883773742</v>
      </c>
      <c r="E33" s="86">
        <f t="shared" si="9"/>
        <v>12721.630300875433</v>
      </c>
      <c r="F33" s="87">
        <f>'30'!$B$45</f>
        <v>8.4968507939838176</v>
      </c>
      <c r="G33" s="87">
        <f>'30'!$B$47</f>
        <v>10.38142551369863</v>
      </c>
      <c r="H33" s="87">
        <f t="shared" si="14"/>
        <v>1.8845747197148128</v>
      </c>
      <c r="I33" s="88"/>
    </row>
    <row r="34" spans="1:11" x14ac:dyDescent="0.25">
      <c r="A34" s="83">
        <f>A33+1</f>
        <v>44926</v>
      </c>
      <c r="B34" s="84">
        <f>'Energy Schedule'!CP3</f>
        <v>0</v>
      </c>
      <c r="C34" s="85">
        <f>'31'!$B$44</f>
        <v>0</v>
      </c>
      <c r="D34" s="85">
        <f>'31'!$B$46</f>
        <v>0</v>
      </c>
      <c r="E34" s="86">
        <f t="shared" ref="E34" si="15">D34-C34</f>
        <v>0</v>
      </c>
      <c r="F34" s="87" t="e">
        <f>'31'!$B$45</f>
        <v>#DIV/0!</v>
      </c>
      <c r="G34" s="87" t="e">
        <f>'31'!$B$47</f>
        <v>#DIV/0!</v>
      </c>
      <c r="H34" s="87" t="e">
        <f t="shared" ref="H34" si="16">G34-F34</f>
        <v>#DIV/0!</v>
      </c>
      <c r="I34" s="88"/>
    </row>
    <row r="35" spans="1:11" x14ac:dyDescent="0.25">
      <c r="A35" s="164" t="s">
        <v>1</v>
      </c>
      <c r="B35" s="165"/>
      <c r="C35" s="89">
        <f>SUM(C4:C34)</f>
        <v>3268940.6991587258</v>
      </c>
      <c r="D35" s="89">
        <f>SUM(D4:D34)</f>
        <v>4008576.5359161845</v>
      </c>
      <c r="E35" s="89">
        <f>SUM(E4:E34)</f>
        <v>739635.83675745805</v>
      </c>
      <c r="F35" s="87" t="e">
        <f>AVERAGE(F4:F34)</f>
        <v>#DIV/0!</v>
      </c>
      <c r="G35" s="87" t="e">
        <f>D35/#REF!</f>
        <v>#REF!</v>
      </c>
      <c r="H35" s="87" t="e">
        <f t="shared" ref="H35" si="17">G35-F35</f>
        <v>#REF!</v>
      </c>
      <c r="I35" s="80"/>
    </row>
    <row r="38" spans="1:11" x14ac:dyDescent="0.25">
      <c r="D38" s="90"/>
      <c r="E38" s="91"/>
      <c r="J38" s="80"/>
      <c r="K38" s="87"/>
    </row>
    <row r="39" spans="1:11" x14ac:dyDescent="0.25">
      <c r="J39" s="80"/>
      <c r="K39" s="87"/>
    </row>
    <row r="42" spans="1:11" x14ac:dyDescent="0.25">
      <c r="F42" s="92"/>
      <c r="G42" s="92"/>
    </row>
    <row r="43" spans="1:11" x14ac:dyDescent="0.25">
      <c r="F43" s="92"/>
      <c r="G43" s="92"/>
    </row>
    <row r="44" spans="1:11" x14ac:dyDescent="0.25">
      <c r="F44" s="92"/>
      <c r="G44" s="92"/>
    </row>
    <row r="45" spans="1:11" x14ac:dyDescent="0.25">
      <c r="F45" s="92"/>
      <c r="G45" s="92"/>
    </row>
    <row r="46" spans="1:11" x14ac:dyDescent="0.25">
      <c r="F46" s="92"/>
      <c r="G46" s="92"/>
    </row>
    <row r="47" spans="1:11" x14ac:dyDescent="0.25">
      <c r="F47" s="92"/>
      <c r="G47" s="92"/>
    </row>
    <row r="48" spans="1:11" x14ac:dyDescent="0.25">
      <c r="F48" s="92"/>
      <c r="G48" s="92"/>
    </row>
    <row r="49" spans="6:7" x14ac:dyDescent="0.25">
      <c r="F49" s="92"/>
      <c r="G49" s="92"/>
    </row>
    <row r="50" spans="6:7" x14ac:dyDescent="0.25">
      <c r="F50" s="92"/>
      <c r="G50" s="92"/>
    </row>
    <row r="51" spans="6:7" x14ac:dyDescent="0.25">
      <c r="F51" s="92"/>
      <c r="G51" s="92"/>
    </row>
    <row r="52" spans="6:7" x14ac:dyDescent="0.25">
      <c r="F52" s="92"/>
      <c r="G52" s="92"/>
    </row>
    <row r="53" spans="6:7" x14ac:dyDescent="0.25">
      <c r="F53" s="92"/>
      <c r="G53" s="92"/>
    </row>
    <row r="54" spans="6:7" x14ac:dyDescent="0.25">
      <c r="F54" s="92"/>
      <c r="G54" s="92"/>
    </row>
    <row r="55" spans="6:7" x14ac:dyDescent="0.25">
      <c r="F55" s="92"/>
      <c r="G55" s="92"/>
    </row>
    <row r="56" spans="6:7" x14ac:dyDescent="0.25">
      <c r="F56" s="92"/>
      <c r="G56" s="92"/>
    </row>
    <row r="57" spans="6:7" x14ac:dyDescent="0.25">
      <c r="F57" s="92"/>
      <c r="G57" s="92"/>
    </row>
    <row r="58" spans="6:7" x14ac:dyDescent="0.25">
      <c r="F58" s="92"/>
      <c r="G58" s="92"/>
    </row>
    <row r="59" spans="6:7" x14ac:dyDescent="0.25">
      <c r="F59" s="92"/>
      <c r="G59" s="92"/>
    </row>
    <row r="60" spans="6:7" x14ac:dyDescent="0.25">
      <c r="F60" s="92"/>
      <c r="G60" s="92"/>
    </row>
    <row r="61" spans="6:7" x14ac:dyDescent="0.25">
      <c r="F61" s="92"/>
      <c r="G61" s="92"/>
    </row>
    <row r="62" spans="6:7" x14ac:dyDescent="0.25">
      <c r="F62" s="92"/>
      <c r="G62" s="92"/>
    </row>
    <row r="63" spans="6:7" x14ac:dyDescent="0.25">
      <c r="F63" s="92"/>
      <c r="G63" s="92"/>
    </row>
    <row r="64" spans="6:7" x14ac:dyDescent="0.25">
      <c r="F64" s="92"/>
      <c r="G64" s="92"/>
    </row>
    <row r="65" spans="6:8" x14ac:dyDescent="0.25">
      <c r="F65" s="92"/>
      <c r="G65" s="92"/>
    </row>
    <row r="66" spans="6:8" x14ac:dyDescent="0.25">
      <c r="F66" s="92"/>
      <c r="G66" s="92"/>
    </row>
    <row r="67" spans="6:8" x14ac:dyDescent="0.25">
      <c r="F67" s="92"/>
      <c r="G67" s="92"/>
    </row>
    <row r="68" spans="6:8" x14ac:dyDescent="0.25">
      <c r="F68" s="92"/>
      <c r="G68" s="92"/>
    </row>
    <row r="69" spans="6:8" x14ac:dyDescent="0.25">
      <c r="F69" s="92"/>
      <c r="G69" s="92"/>
    </row>
    <row r="70" spans="6:8" x14ac:dyDescent="0.25">
      <c r="F70" s="92"/>
      <c r="G70" s="92"/>
    </row>
    <row r="71" spans="6:8" x14ac:dyDescent="0.25">
      <c r="F71" s="92"/>
      <c r="G71" s="92"/>
    </row>
    <row r="72" spans="6:8" x14ac:dyDescent="0.25">
      <c r="F72" s="92"/>
      <c r="G72" s="92"/>
    </row>
    <row r="73" spans="6:8" x14ac:dyDescent="0.25">
      <c r="F73" s="92"/>
      <c r="G73" s="92"/>
    </row>
    <row r="74" spans="6:8" x14ac:dyDescent="0.25">
      <c r="H74" s="92"/>
    </row>
  </sheetData>
  <dataConsolidate/>
  <mergeCells count="10">
    <mergeCell ref="A35:B35"/>
    <mergeCell ref="I2:I3"/>
    <mergeCell ref="A1:I1"/>
    <mergeCell ref="H2:H3"/>
    <mergeCell ref="A2:A3"/>
    <mergeCell ref="C2:C3"/>
    <mergeCell ref="D2:D3"/>
    <mergeCell ref="E2:E3"/>
    <mergeCell ref="F2:F3"/>
    <mergeCell ref="G2:G3"/>
  </mergeCells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FEFE-F787-42AF-81B2-6A044B98F339}">
  <dimension ref="A3:O222"/>
  <sheetViews>
    <sheetView workbookViewId="0">
      <selection sqref="A1:XFD1048576"/>
    </sheetView>
  </sheetViews>
  <sheetFormatPr defaultColWidth="30.36328125" defaultRowHeight="11.5" x14ac:dyDescent="0.25"/>
  <cols>
    <col min="1" max="1" width="10.6328125" style="79" bestFit="1" customWidth="1"/>
    <col min="2" max="2" width="15.90625" style="79" bestFit="1" customWidth="1"/>
    <col min="3" max="3" width="14.90625" style="79" bestFit="1" customWidth="1"/>
    <col min="4" max="4" width="12.6328125" style="79" bestFit="1" customWidth="1"/>
    <col min="5" max="5" width="8.453125" style="79" customWidth="1"/>
    <col min="6" max="16384" width="30.36328125" style="79"/>
  </cols>
  <sheetData>
    <row r="3" spans="1:8" x14ac:dyDescent="0.25">
      <c r="C3" s="131"/>
      <c r="D3" s="131"/>
      <c r="E3" s="131"/>
      <c r="G3" s="111"/>
      <c r="H3" s="111"/>
    </row>
    <row r="4" spans="1:8" s="90" customFormat="1" x14ac:dyDescent="0.25">
      <c r="A4" s="90" t="s">
        <v>169</v>
      </c>
      <c r="B4" s="132" t="s">
        <v>166</v>
      </c>
      <c r="C4" s="132" t="s">
        <v>167</v>
      </c>
      <c r="D4" s="132" t="s">
        <v>36</v>
      </c>
      <c r="E4" s="132"/>
      <c r="G4" s="133"/>
      <c r="H4" s="133"/>
    </row>
    <row r="5" spans="1:8" x14ac:dyDescent="0.25">
      <c r="A5" s="79" t="s">
        <v>28</v>
      </c>
      <c r="B5" s="134">
        <f>SUM('01:31'!I6)</f>
        <v>9683.9894937397494</v>
      </c>
      <c r="C5" s="134">
        <f>SUM('01:31'!J6)</f>
        <v>54900</v>
      </c>
      <c r="D5" s="134">
        <f>SUM('01:31'!K6)</f>
        <v>45216.010506260245</v>
      </c>
      <c r="E5" s="135"/>
      <c r="G5" s="111"/>
      <c r="H5" s="111"/>
    </row>
    <row r="6" spans="1:8" x14ac:dyDescent="0.25">
      <c r="A6" s="79" t="s">
        <v>29</v>
      </c>
      <c r="B6" s="134">
        <f>SUM('01:31'!I7)</f>
        <v>198750.17688072659</v>
      </c>
      <c r="C6" s="134">
        <f>SUM('01:31'!J7)</f>
        <v>274200</v>
      </c>
      <c r="D6" s="134">
        <f>SUM('01:31'!K7)</f>
        <v>75449.823119273395</v>
      </c>
      <c r="E6" s="134"/>
      <c r="G6" s="111"/>
      <c r="H6" s="111"/>
    </row>
    <row r="7" spans="1:8" x14ac:dyDescent="0.25">
      <c r="A7" s="79" t="s">
        <v>31</v>
      </c>
      <c r="B7" s="134">
        <f>SUM('01:31'!I8)</f>
        <v>112762.38838271202</v>
      </c>
      <c r="C7" s="134">
        <f>SUM('01:31'!J8)</f>
        <v>512800</v>
      </c>
      <c r="D7" s="134">
        <f>SUM('01:31'!K8)</f>
        <v>400037.61161728797</v>
      </c>
      <c r="E7" s="134"/>
      <c r="G7" s="111"/>
      <c r="H7" s="111"/>
    </row>
    <row r="8" spans="1:8" x14ac:dyDescent="0.25">
      <c r="A8" s="79" t="s">
        <v>32</v>
      </c>
      <c r="B8" s="134">
        <f>SUM('01:31'!I9)</f>
        <v>79826.454487434996</v>
      </c>
      <c r="C8" s="134">
        <f>SUM('01:31'!J9)</f>
        <v>104900</v>
      </c>
      <c r="D8" s="134">
        <f>SUM('01:31'!K9)</f>
        <v>25073.545512564961</v>
      </c>
      <c r="E8" s="134"/>
      <c r="G8" s="111"/>
      <c r="H8" s="111"/>
    </row>
    <row r="9" spans="1:8" x14ac:dyDescent="0.25">
      <c r="C9" s="134"/>
      <c r="D9" s="134"/>
      <c r="E9" s="134"/>
      <c r="G9" s="111"/>
      <c r="H9" s="111"/>
    </row>
    <row r="10" spans="1:8" x14ac:dyDescent="0.25">
      <c r="C10" s="134"/>
      <c r="D10" s="134"/>
      <c r="E10" s="134"/>
      <c r="G10" s="111"/>
      <c r="H10" s="111"/>
    </row>
    <row r="11" spans="1:8" x14ac:dyDescent="0.25">
      <c r="B11" s="131"/>
      <c r="C11" s="134"/>
      <c r="D11" s="134"/>
      <c r="E11" s="134"/>
      <c r="G11" s="111"/>
      <c r="H11" s="111"/>
    </row>
    <row r="12" spans="1:8" x14ac:dyDescent="0.25">
      <c r="B12" s="131"/>
      <c r="C12" s="131"/>
      <c r="D12" s="131"/>
      <c r="E12" s="131"/>
      <c r="G12" s="111"/>
      <c r="H12" s="111"/>
    </row>
    <row r="13" spans="1:8" x14ac:dyDescent="0.25">
      <c r="B13" s="131"/>
      <c r="C13" s="131"/>
      <c r="D13" s="131"/>
      <c r="E13" s="134"/>
      <c r="G13" s="111"/>
      <c r="H13" s="111"/>
    </row>
    <row r="14" spans="1:8" x14ac:dyDescent="0.25">
      <c r="B14" s="134"/>
      <c r="C14" s="134"/>
      <c r="D14" s="134"/>
      <c r="E14" s="134"/>
      <c r="G14" s="111"/>
      <c r="H14" s="111"/>
    </row>
    <row r="15" spans="1:8" x14ac:dyDescent="0.25">
      <c r="B15" s="131"/>
      <c r="C15" s="131"/>
      <c r="D15" s="131"/>
      <c r="E15" s="134"/>
      <c r="G15" s="111"/>
      <c r="H15" s="111"/>
    </row>
    <row r="16" spans="1:8" x14ac:dyDescent="0.25">
      <c r="C16" s="134"/>
      <c r="D16" s="134"/>
      <c r="E16" s="134"/>
      <c r="G16" s="111"/>
      <c r="H16" s="111"/>
    </row>
    <row r="17" spans="1:15" x14ac:dyDescent="0.25">
      <c r="B17" s="134"/>
      <c r="C17" s="134"/>
      <c r="D17" s="134"/>
      <c r="E17" s="134"/>
      <c r="G17" s="111"/>
      <c r="H17" s="111"/>
    </row>
    <row r="18" spans="1:15" x14ac:dyDescent="0.25">
      <c r="B18" s="134"/>
      <c r="C18" s="134"/>
      <c r="D18" s="134"/>
      <c r="E18" s="134"/>
      <c r="G18" s="111"/>
      <c r="H18" s="111"/>
    </row>
    <row r="19" spans="1:15" x14ac:dyDescent="0.25">
      <c r="B19" s="134"/>
      <c r="C19" s="134"/>
      <c r="D19" s="134"/>
      <c r="E19" s="134"/>
      <c r="G19" s="111"/>
      <c r="H19" s="111"/>
    </row>
    <row r="20" spans="1:15" x14ac:dyDescent="0.25">
      <c r="B20" s="134"/>
      <c r="C20" s="134"/>
      <c r="D20" s="134"/>
      <c r="E20" s="134"/>
      <c r="G20" s="111"/>
      <c r="H20" s="111"/>
    </row>
    <row r="21" spans="1:15" x14ac:dyDescent="0.25">
      <c r="B21" s="134"/>
      <c r="C21" s="134"/>
      <c r="D21" s="134"/>
      <c r="E21" s="134"/>
      <c r="G21" s="111"/>
      <c r="H21" s="111"/>
    </row>
    <row r="22" spans="1:15" x14ac:dyDescent="0.25">
      <c r="B22" s="131"/>
      <c r="C22" s="131"/>
      <c r="D22" s="131"/>
      <c r="E22" s="134"/>
      <c r="G22" s="111"/>
      <c r="H22" s="111"/>
    </row>
    <row r="23" spans="1:15" x14ac:dyDescent="0.25">
      <c r="B23" s="131"/>
      <c r="C23" s="131"/>
      <c r="D23" s="131"/>
      <c r="E23" s="134"/>
      <c r="G23" s="111"/>
      <c r="H23" s="111"/>
    </row>
    <row r="24" spans="1:15" x14ac:dyDescent="0.25">
      <c r="B24" s="131"/>
      <c r="C24" s="131"/>
      <c r="D24" s="131"/>
      <c r="E24" s="134"/>
      <c r="G24" s="111"/>
      <c r="H24" s="111"/>
    </row>
    <row r="25" spans="1:15" x14ac:dyDescent="0.25">
      <c r="B25" s="136"/>
      <c r="C25" s="137"/>
      <c r="D25" s="137"/>
      <c r="E25" s="138"/>
      <c r="G25" s="111"/>
      <c r="H25" s="111"/>
    </row>
    <row r="26" spans="1:15" x14ac:dyDescent="0.25">
      <c r="C26" s="139"/>
      <c r="D26" s="139"/>
      <c r="E26" s="140"/>
      <c r="G26" s="111"/>
      <c r="H26" s="111"/>
    </row>
    <row r="27" spans="1:15" x14ac:dyDescent="0.25">
      <c r="C27" s="135"/>
      <c r="D27" s="135"/>
      <c r="E27" s="135"/>
      <c r="G27" s="111"/>
      <c r="H27" s="111"/>
    </row>
    <row r="28" spans="1:15" x14ac:dyDescent="0.25">
      <c r="C28" s="109"/>
      <c r="D28" s="109"/>
      <c r="E28" s="109"/>
      <c r="G28" s="111"/>
      <c r="H28" s="111"/>
    </row>
    <row r="29" spans="1:15" x14ac:dyDescent="0.25">
      <c r="G29" s="111"/>
      <c r="H29" s="111"/>
      <c r="I29" s="171"/>
      <c r="J29" s="141"/>
      <c r="K29" s="141"/>
      <c r="L29" s="141"/>
      <c r="M29" s="141"/>
      <c r="N29" s="141"/>
      <c r="O29" s="141"/>
    </row>
    <row r="30" spans="1:15" x14ac:dyDescent="0.25">
      <c r="A30" s="90"/>
      <c r="B30" s="90"/>
      <c r="C30" s="90"/>
      <c r="D30" s="90"/>
      <c r="E30" s="90"/>
      <c r="F30" s="90"/>
      <c r="G30" s="111"/>
      <c r="H30" s="111"/>
      <c r="I30" s="171"/>
      <c r="J30" s="142"/>
      <c r="K30" s="142"/>
      <c r="L30" s="142"/>
      <c r="M30" s="142"/>
      <c r="N30" s="142"/>
      <c r="O30" s="142"/>
    </row>
    <row r="31" spans="1:15" x14ac:dyDescent="0.25">
      <c r="A31" s="143"/>
      <c r="B31" s="143"/>
      <c r="C31" s="143"/>
      <c r="D31" s="143"/>
      <c r="E31" s="143"/>
      <c r="F31" s="143"/>
      <c r="G31" s="111"/>
      <c r="H31" s="111"/>
      <c r="I31" s="141"/>
      <c r="J31" s="144"/>
      <c r="K31" s="144"/>
      <c r="L31" s="144"/>
      <c r="M31" s="144"/>
      <c r="N31" s="144"/>
      <c r="O31" s="144"/>
    </row>
    <row r="32" spans="1:15" x14ac:dyDescent="0.25">
      <c r="A32" s="143"/>
      <c r="B32" s="143"/>
      <c r="C32" s="143"/>
      <c r="D32" s="143"/>
      <c r="E32" s="143"/>
      <c r="G32" s="111"/>
      <c r="H32" s="111"/>
      <c r="I32" s="141"/>
      <c r="J32" s="145"/>
      <c r="K32" s="145"/>
      <c r="L32" s="145"/>
      <c r="M32" s="145"/>
      <c r="N32" s="145"/>
      <c r="O32" s="145"/>
    </row>
    <row r="33" spans="1:15" x14ac:dyDescent="0.25">
      <c r="A33" s="146"/>
      <c r="B33" s="147"/>
      <c r="C33" s="134"/>
      <c r="D33" s="147"/>
      <c r="E33" s="111"/>
      <c r="G33" s="111"/>
      <c r="H33" s="111"/>
      <c r="I33" s="141"/>
      <c r="J33" s="148"/>
      <c r="K33" s="148"/>
      <c r="L33" s="148"/>
      <c r="M33" s="148"/>
      <c r="N33" s="148"/>
      <c r="O33" s="149"/>
    </row>
    <row r="34" spans="1:15" x14ac:dyDescent="0.25">
      <c r="A34" s="146"/>
      <c r="B34" s="147"/>
      <c r="C34" s="134"/>
      <c r="D34" s="134"/>
      <c r="E34" s="111"/>
      <c r="G34" s="111"/>
      <c r="H34" s="111"/>
    </row>
    <row r="35" spans="1:15" x14ac:dyDescent="0.25">
      <c r="A35" s="146"/>
      <c r="B35" s="147"/>
      <c r="C35" s="134"/>
      <c r="D35" s="134"/>
      <c r="E35" s="111"/>
      <c r="G35" s="111"/>
      <c r="H35" s="111"/>
    </row>
    <row r="36" spans="1:15" x14ac:dyDescent="0.25">
      <c r="A36" s="146"/>
      <c r="B36" s="147"/>
      <c r="C36" s="134"/>
      <c r="D36" s="134"/>
      <c r="E36" s="111"/>
      <c r="G36" s="111"/>
      <c r="H36" s="111"/>
    </row>
    <row r="37" spans="1:15" x14ac:dyDescent="0.25">
      <c r="A37" s="146"/>
      <c r="B37" s="147"/>
      <c r="C37" s="150"/>
      <c r="D37" s="150"/>
      <c r="E37" s="133"/>
      <c r="F37" s="147"/>
      <c r="G37" s="111"/>
      <c r="H37" s="135"/>
      <c r="I37" s="150"/>
      <c r="J37" s="135"/>
      <c r="K37" s="135"/>
      <c r="L37" s="135"/>
      <c r="M37" s="135"/>
    </row>
    <row r="38" spans="1:15" x14ac:dyDescent="0.25">
      <c r="A38" s="146"/>
      <c r="C38" s="151"/>
      <c r="D38" s="111"/>
      <c r="E38" s="111"/>
      <c r="F38" s="111"/>
      <c r="G38" s="111"/>
      <c r="H38" s="135"/>
      <c r="I38" s="150"/>
      <c r="J38" s="135"/>
      <c r="K38" s="135"/>
      <c r="L38" s="135"/>
      <c r="M38" s="135"/>
    </row>
    <row r="39" spans="1:15" x14ac:dyDescent="0.25">
      <c r="A39" s="146"/>
      <c r="B39" s="151"/>
      <c r="C39" s="151"/>
      <c r="D39" s="111"/>
      <c r="E39" s="111"/>
      <c r="F39" s="111"/>
      <c r="G39" s="111"/>
      <c r="H39" s="135"/>
      <c r="I39" s="150"/>
      <c r="J39" s="135"/>
      <c r="K39" s="135"/>
      <c r="L39" s="135"/>
      <c r="M39" s="135"/>
    </row>
    <row r="40" spans="1:15" x14ac:dyDescent="0.25">
      <c r="D40" s="151"/>
      <c r="E40" s="151"/>
      <c r="F40" s="151"/>
      <c r="G40" s="111"/>
      <c r="H40" s="135"/>
      <c r="I40" s="150"/>
      <c r="J40" s="135"/>
      <c r="K40" s="135"/>
      <c r="L40" s="135"/>
      <c r="M40" s="135"/>
    </row>
    <row r="41" spans="1:15" x14ac:dyDescent="0.25">
      <c r="G41" s="111"/>
      <c r="H41" s="135"/>
      <c r="I41" s="150"/>
      <c r="J41" s="135"/>
      <c r="K41" s="135"/>
      <c r="L41" s="135"/>
      <c r="M41" s="135"/>
    </row>
    <row r="42" spans="1:15" x14ac:dyDescent="0.25">
      <c r="A42" s="152"/>
      <c r="B42" s="153"/>
      <c r="G42" s="111"/>
      <c r="H42" s="135"/>
      <c r="I42" s="150"/>
      <c r="J42" s="135"/>
      <c r="K42" s="135"/>
      <c r="L42" s="135"/>
      <c r="M42" s="135"/>
    </row>
    <row r="43" spans="1:15" x14ac:dyDescent="0.25">
      <c r="A43" s="152"/>
      <c r="B43" s="153"/>
      <c r="G43" s="111"/>
      <c r="H43" s="135"/>
      <c r="J43" s="135"/>
    </row>
    <row r="44" spans="1:15" x14ac:dyDescent="0.25">
      <c r="A44" s="152"/>
      <c r="B44" s="135"/>
      <c r="G44" s="111"/>
      <c r="H44" s="135"/>
      <c r="I44" s="150"/>
      <c r="J44" s="135"/>
      <c r="K44" s="135"/>
      <c r="L44" s="135"/>
      <c r="M44" s="135"/>
    </row>
    <row r="45" spans="1:15" x14ac:dyDescent="0.25">
      <c r="A45" s="152"/>
      <c r="B45" s="109"/>
      <c r="G45" s="111"/>
      <c r="H45" s="135"/>
      <c r="I45" s="150"/>
      <c r="J45" s="135"/>
      <c r="K45" s="135"/>
      <c r="L45" s="135"/>
      <c r="M45" s="135"/>
    </row>
    <row r="46" spans="1:15" x14ac:dyDescent="0.25">
      <c r="A46" s="152"/>
      <c r="B46" s="153"/>
      <c r="G46" s="111"/>
      <c r="H46" s="135"/>
      <c r="I46" s="150"/>
      <c r="J46" s="135"/>
      <c r="K46" s="135"/>
      <c r="L46" s="135"/>
      <c r="M46" s="135"/>
    </row>
    <row r="47" spans="1:15" x14ac:dyDescent="0.25">
      <c r="A47" s="152"/>
      <c r="B47" s="154"/>
      <c r="C47" s="90"/>
      <c r="D47" s="90"/>
      <c r="E47" s="90"/>
      <c r="F47" s="90"/>
      <c r="G47" s="111"/>
      <c r="H47" s="135"/>
      <c r="I47" s="150"/>
      <c r="J47" s="135"/>
      <c r="K47" s="135"/>
      <c r="L47" s="135"/>
      <c r="M47" s="135"/>
    </row>
    <row r="48" spans="1:15" x14ac:dyDescent="0.25">
      <c r="A48" s="152"/>
      <c r="B48" s="153"/>
      <c r="G48" s="111"/>
      <c r="H48" s="135"/>
      <c r="I48" s="150"/>
      <c r="J48" s="135"/>
      <c r="K48" s="135"/>
      <c r="L48" s="135"/>
      <c r="M48" s="135"/>
    </row>
    <row r="49" spans="1:13" x14ac:dyDescent="0.25">
      <c r="A49" s="152"/>
      <c r="B49" s="154"/>
      <c r="G49" s="111"/>
      <c r="H49" s="135"/>
      <c r="I49" s="150"/>
      <c r="J49" s="135"/>
      <c r="K49" s="135"/>
      <c r="L49" s="135"/>
      <c r="M49" s="135"/>
    </row>
    <row r="50" spans="1:13" x14ac:dyDescent="0.25">
      <c r="G50" s="111"/>
      <c r="H50" s="135"/>
      <c r="I50" s="155"/>
      <c r="J50" s="135"/>
    </row>
    <row r="51" spans="1:13" x14ac:dyDescent="0.25">
      <c r="G51" s="111"/>
      <c r="H51" s="135"/>
      <c r="I51" s="150"/>
      <c r="J51" s="135"/>
      <c r="K51" s="135"/>
      <c r="L51" s="135"/>
      <c r="M51" s="135"/>
    </row>
    <row r="52" spans="1:13" x14ac:dyDescent="0.25">
      <c r="G52" s="111"/>
      <c r="H52" s="135"/>
      <c r="I52" s="150"/>
      <c r="J52" s="135"/>
      <c r="K52" s="135"/>
      <c r="L52" s="135"/>
      <c r="M52" s="135"/>
    </row>
    <row r="53" spans="1:13" s="155" customFormat="1" x14ac:dyDescent="0.25">
      <c r="G53" s="111"/>
      <c r="H53" s="135"/>
      <c r="I53" s="150"/>
      <c r="J53" s="135"/>
      <c r="K53" s="135"/>
      <c r="L53" s="135"/>
      <c r="M53" s="135"/>
    </row>
    <row r="54" spans="1:13" s="155" customFormat="1" x14ac:dyDescent="0.25">
      <c r="G54" s="111"/>
      <c r="H54" s="135"/>
      <c r="I54" s="150"/>
      <c r="J54" s="135"/>
      <c r="K54" s="135"/>
      <c r="L54" s="135"/>
      <c r="M54" s="135"/>
    </row>
    <row r="55" spans="1:13" s="156" customFormat="1" x14ac:dyDescent="0.25">
      <c r="G55" s="111"/>
      <c r="H55" s="135"/>
      <c r="I55" s="150"/>
      <c r="J55" s="135"/>
      <c r="K55" s="135"/>
      <c r="L55" s="135"/>
      <c r="M55" s="135"/>
    </row>
    <row r="56" spans="1:13" s="156" customFormat="1" x14ac:dyDescent="0.25">
      <c r="G56" s="111"/>
      <c r="H56" s="135"/>
      <c r="I56" s="150"/>
      <c r="J56" s="135"/>
      <c r="K56" s="135"/>
      <c r="L56" s="135"/>
      <c r="M56" s="135"/>
    </row>
    <row r="57" spans="1:13" s="156" customFormat="1" x14ac:dyDescent="0.25">
      <c r="G57" s="111"/>
      <c r="H57" s="111"/>
      <c r="J57" s="155"/>
      <c r="K57" s="155"/>
      <c r="L57" s="155"/>
    </row>
    <row r="58" spans="1:13" s="156" customFormat="1" x14ac:dyDescent="0.25">
      <c r="G58" s="111"/>
      <c r="H58" s="111"/>
    </row>
    <row r="59" spans="1:13" s="156" customFormat="1" x14ac:dyDescent="0.25">
      <c r="G59" s="111"/>
      <c r="H59" s="111"/>
    </row>
    <row r="60" spans="1:13" s="156" customFormat="1" x14ac:dyDescent="0.25">
      <c r="G60" s="111"/>
      <c r="H60" s="111"/>
    </row>
    <row r="61" spans="1:13" s="156" customFormat="1" x14ac:dyDescent="0.25">
      <c r="A61" s="155"/>
      <c r="B61" s="155"/>
      <c r="C61" s="155"/>
      <c r="D61" s="155"/>
      <c r="G61" s="111"/>
      <c r="H61" s="111"/>
    </row>
    <row r="62" spans="1:13" s="155" customFormat="1" x14ac:dyDescent="0.25">
      <c r="G62" s="111"/>
      <c r="H62" s="111"/>
    </row>
    <row r="63" spans="1:13" x14ac:dyDescent="0.25">
      <c r="G63" s="111"/>
      <c r="H63" s="111"/>
    </row>
    <row r="64" spans="1:13" x14ac:dyDescent="0.25">
      <c r="G64" s="111"/>
      <c r="H64" s="111"/>
    </row>
    <row r="65" spans="7:8" x14ac:dyDescent="0.25">
      <c r="G65" s="111"/>
      <c r="H65" s="111"/>
    </row>
    <row r="66" spans="7:8" x14ac:dyDescent="0.25">
      <c r="G66" s="111"/>
      <c r="H66" s="111"/>
    </row>
    <row r="67" spans="7:8" x14ac:dyDescent="0.25">
      <c r="G67" s="111"/>
      <c r="H67" s="111"/>
    </row>
    <row r="68" spans="7:8" x14ac:dyDescent="0.25">
      <c r="G68" s="111"/>
      <c r="H68" s="111"/>
    </row>
    <row r="69" spans="7:8" x14ac:dyDescent="0.25">
      <c r="G69" s="111"/>
      <c r="H69" s="111"/>
    </row>
    <row r="70" spans="7:8" x14ac:dyDescent="0.25">
      <c r="G70" s="111"/>
      <c r="H70" s="111"/>
    </row>
    <row r="71" spans="7:8" x14ac:dyDescent="0.25">
      <c r="G71" s="111"/>
      <c r="H71" s="111"/>
    </row>
    <row r="72" spans="7:8" x14ac:dyDescent="0.25">
      <c r="G72" s="111"/>
      <c r="H72" s="111"/>
    </row>
    <row r="73" spans="7:8" x14ac:dyDescent="0.25">
      <c r="G73" s="111"/>
      <c r="H73" s="111"/>
    </row>
    <row r="74" spans="7:8" x14ac:dyDescent="0.25">
      <c r="G74" s="111"/>
      <c r="H74" s="111"/>
    </row>
    <row r="75" spans="7:8" x14ac:dyDescent="0.25">
      <c r="G75" s="111"/>
      <c r="H75" s="111"/>
    </row>
    <row r="76" spans="7:8" x14ac:dyDescent="0.25">
      <c r="G76" s="111"/>
      <c r="H76" s="111"/>
    </row>
    <row r="77" spans="7:8" x14ac:dyDescent="0.25">
      <c r="G77" s="111"/>
      <c r="H77" s="111"/>
    </row>
    <row r="78" spans="7:8" x14ac:dyDescent="0.25">
      <c r="G78" s="111"/>
      <c r="H78" s="111"/>
    </row>
    <row r="79" spans="7:8" x14ac:dyDescent="0.25">
      <c r="G79" s="111"/>
      <c r="H79" s="111"/>
    </row>
    <row r="80" spans="7:8" x14ac:dyDescent="0.25">
      <c r="G80" s="111"/>
      <c r="H80" s="111"/>
    </row>
    <row r="81" spans="7:8" x14ac:dyDescent="0.25">
      <c r="G81" s="111"/>
      <c r="H81" s="111"/>
    </row>
    <row r="82" spans="7:8" x14ac:dyDescent="0.25">
      <c r="G82" s="111"/>
      <c r="H82" s="111"/>
    </row>
    <row r="83" spans="7:8" x14ac:dyDescent="0.25">
      <c r="G83" s="111"/>
      <c r="H83" s="111"/>
    </row>
    <row r="84" spans="7:8" x14ac:dyDescent="0.25">
      <c r="G84" s="111"/>
      <c r="H84" s="111"/>
    </row>
    <row r="85" spans="7:8" x14ac:dyDescent="0.25">
      <c r="G85" s="111"/>
      <c r="H85" s="111"/>
    </row>
    <row r="86" spans="7:8" x14ac:dyDescent="0.25">
      <c r="G86" s="111"/>
      <c r="H86" s="111"/>
    </row>
    <row r="87" spans="7:8" x14ac:dyDescent="0.25">
      <c r="G87" s="111"/>
      <c r="H87" s="111"/>
    </row>
    <row r="88" spans="7:8" x14ac:dyDescent="0.25">
      <c r="G88" s="111"/>
      <c r="H88" s="111"/>
    </row>
    <row r="89" spans="7:8" x14ac:dyDescent="0.25">
      <c r="G89" s="111"/>
      <c r="H89" s="111"/>
    </row>
    <row r="90" spans="7:8" x14ac:dyDescent="0.25">
      <c r="G90" s="111"/>
      <c r="H90" s="111"/>
    </row>
    <row r="91" spans="7:8" x14ac:dyDescent="0.25">
      <c r="G91" s="111"/>
      <c r="H91" s="111"/>
    </row>
    <row r="92" spans="7:8" x14ac:dyDescent="0.25">
      <c r="G92" s="111"/>
      <c r="H92" s="111"/>
    </row>
    <row r="93" spans="7:8" x14ac:dyDescent="0.25">
      <c r="G93" s="111"/>
      <c r="H93" s="111"/>
    </row>
    <row r="94" spans="7:8" x14ac:dyDescent="0.25">
      <c r="G94" s="111"/>
      <c r="H94" s="111"/>
    </row>
    <row r="95" spans="7:8" x14ac:dyDescent="0.25">
      <c r="G95" s="111"/>
      <c r="H95" s="111"/>
    </row>
    <row r="96" spans="7:8" x14ac:dyDescent="0.25">
      <c r="G96" s="111"/>
      <c r="H96" s="111"/>
    </row>
    <row r="97" s="79" customFormat="1" x14ac:dyDescent="0.25"/>
    <row r="98" s="79" customFormat="1" x14ac:dyDescent="0.25"/>
    <row r="99" s="79" customFormat="1" x14ac:dyDescent="0.25"/>
    <row r="100" s="79" customFormat="1" x14ac:dyDescent="0.25"/>
    <row r="101" s="79" customFormat="1" x14ac:dyDescent="0.25"/>
    <row r="102" s="79" customFormat="1" x14ac:dyDescent="0.25"/>
    <row r="103" s="79" customFormat="1" x14ac:dyDescent="0.25"/>
    <row r="104" s="79" customFormat="1" x14ac:dyDescent="0.25"/>
    <row r="105" s="79" customFormat="1" x14ac:dyDescent="0.25"/>
    <row r="106" s="79" customFormat="1" x14ac:dyDescent="0.25"/>
    <row r="107" s="79" customFormat="1" x14ac:dyDescent="0.25"/>
    <row r="108" s="79" customFormat="1" x14ac:dyDescent="0.25"/>
    <row r="109" s="79" customFormat="1" x14ac:dyDescent="0.25"/>
    <row r="110" s="79" customFormat="1" x14ac:dyDescent="0.25"/>
    <row r="111" s="79" customFormat="1" x14ac:dyDescent="0.25"/>
    <row r="112" s="79" customFormat="1" x14ac:dyDescent="0.25"/>
    <row r="113" s="79" customFormat="1" x14ac:dyDescent="0.25"/>
    <row r="114" s="79" customFormat="1" x14ac:dyDescent="0.25"/>
    <row r="115" s="79" customFormat="1" x14ac:dyDescent="0.25"/>
    <row r="116" s="79" customFormat="1" x14ac:dyDescent="0.25"/>
    <row r="117" s="79" customFormat="1" x14ac:dyDescent="0.25"/>
    <row r="118" s="79" customFormat="1" x14ac:dyDescent="0.25"/>
    <row r="119" s="79" customFormat="1" x14ac:dyDescent="0.25"/>
    <row r="120" s="79" customFormat="1" x14ac:dyDescent="0.25"/>
    <row r="121" s="79" customFormat="1" x14ac:dyDescent="0.25"/>
    <row r="122" s="79" customFormat="1" x14ac:dyDescent="0.25"/>
    <row r="123" s="79" customFormat="1" x14ac:dyDescent="0.25"/>
    <row r="124" s="79" customFormat="1" x14ac:dyDescent="0.25"/>
    <row r="125" s="79" customFormat="1" x14ac:dyDescent="0.25"/>
    <row r="126" s="79" customFormat="1" x14ac:dyDescent="0.25"/>
    <row r="127" s="79" customFormat="1" x14ac:dyDescent="0.25"/>
    <row r="128" s="79" customFormat="1" x14ac:dyDescent="0.25"/>
    <row r="129" s="79" customFormat="1" x14ac:dyDescent="0.25"/>
    <row r="130" s="79" customFormat="1" x14ac:dyDescent="0.25"/>
    <row r="131" s="79" customFormat="1" x14ac:dyDescent="0.25"/>
    <row r="132" s="79" customFormat="1" x14ac:dyDescent="0.25"/>
    <row r="133" s="79" customFormat="1" x14ac:dyDescent="0.25"/>
    <row r="134" s="79" customFormat="1" x14ac:dyDescent="0.25"/>
    <row r="135" s="79" customFormat="1" x14ac:dyDescent="0.25"/>
    <row r="136" s="79" customFormat="1" x14ac:dyDescent="0.25"/>
    <row r="137" s="79" customFormat="1" x14ac:dyDescent="0.25"/>
    <row r="138" s="79" customFormat="1" x14ac:dyDescent="0.25"/>
    <row r="139" s="79" customFormat="1" x14ac:dyDescent="0.25"/>
    <row r="140" s="79" customFormat="1" x14ac:dyDescent="0.25"/>
    <row r="141" s="79" customFormat="1" x14ac:dyDescent="0.25"/>
    <row r="142" s="79" customFormat="1" x14ac:dyDescent="0.25"/>
    <row r="143" s="79" customFormat="1" x14ac:dyDescent="0.25"/>
    <row r="144" s="79" customFormat="1" x14ac:dyDescent="0.25"/>
    <row r="145" s="79" customFormat="1" x14ac:dyDescent="0.25"/>
    <row r="146" s="79" customFormat="1" x14ac:dyDescent="0.25"/>
    <row r="147" s="79" customFormat="1" x14ac:dyDescent="0.25"/>
    <row r="148" s="79" customFormat="1" x14ac:dyDescent="0.25"/>
    <row r="149" s="79" customFormat="1" x14ac:dyDescent="0.25"/>
    <row r="150" s="79" customFormat="1" x14ac:dyDescent="0.25"/>
    <row r="151" s="79" customFormat="1" x14ac:dyDescent="0.25"/>
    <row r="152" s="79" customFormat="1" x14ac:dyDescent="0.25"/>
    <row r="153" s="79" customFormat="1" x14ac:dyDescent="0.25"/>
    <row r="154" s="79" customFormat="1" x14ac:dyDescent="0.25"/>
    <row r="155" s="79" customFormat="1" x14ac:dyDescent="0.25"/>
    <row r="156" s="79" customFormat="1" x14ac:dyDescent="0.25"/>
    <row r="157" s="79" customFormat="1" x14ac:dyDescent="0.25"/>
    <row r="158" s="79" customFormat="1" x14ac:dyDescent="0.25"/>
    <row r="159" s="79" customFormat="1" x14ac:dyDescent="0.25"/>
    <row r="160" s="79" customFormat="1" x14ac:dyDescent="0.25"/>
    <row r="161" s="79" customFormat="1" x14ac:dyDescent="0.25"/>
    <row r="162" s="79" customFormat="1" x14ac:dyDescent="0.25"/>
    <row r="163" s="79" customFormat="1" x14ac:dyDescent="0.25"/>
    <row r="164" s="79" customFormat="1" x14ac:dyDescent="0.25"/>
    <row r="165" s="79" customFormat="1" x14ac:dyDescent="0.25"/>
    <row r="166" s="79" customFormat="1" x14ac:dyDescent="0.25"/>
    <row r="167" s="79" customFormat="1" x14ac:dyDescent="0.25"/>
    <row r="168" s="79" customFormat="1" x14ac:dyDescent="0.25"/>
    <row r="169" s="79" customFormat="1" x14ac:dyDescent="0.25"/>
    <row r="170" s="79" customFormat="1" x14ac:dyDescent="0.25"/>
    <row r="171" s="79" customFormat="1" x14ac:dyDescent="0.25"/>
    <row r="172" s="79" customFormat="1" x14ac:dyDescent="0.25"/>
    <row r="173" s="79" customFormat="1" x14ac:dyDescent="0.25"/>
    <row r="174" s="79" customFormat="1" x14ac:dyDescent="0.25"/>
    <row r="175" s="79" customFormat="1" x14ac:dyDescent="0.25"/>
    <row r="176" s="79" customFormat="1" x14ac:dyDescent="0.25"/>
    <row r="177" s="79" customFormat="1" x14ac:dyDescent="0.25"/>
    <row r="178" s="79" customFormat="1" x14ac:dyDescent="0.25"/>
    <row r="179" s="79" customFormat="1" x14ac:dyDescent="0.25"/>
    <row r="180" s="79" customFormat="1" x14ac:dyDescent="0.25"/>
    <row r="181" s="79" customFormat="1" x14ac:dyDescent="0.25"/>
    <row r="182" s="79" customFormat="1" x14ac:dyDescent="0.25"/>
    <row r="183" s="79" customFormat="1" x14ac:dyDescent="0.25"/>
    <row r="184" s="79" customFormat="1" x14ac:dyDescent="0.25"/>
    <row r="185" s="79" customFormat="1" x14ac:dyDescent="0.25"/>
    <row r="186" s="79" customFormat="1" x14ac:dyDescent="0.25"/>
    <row r="187" s="79" customFormat="1" x14ac:dyDescent="0.25"/>
    <row r="188" s="79" customFormat="1" x14ac:dyDescent="0.25"/>
    <row r="189" s="79" customFormat="1" x14ac:dyDescent="0.25"/>
    <row r="190" s="79" customFormat="1" x14ac:dyDescent="0.25"/>
    <row r="191" s="79" customFormat="1" x14ac:dyDescent="0.25"/>
    <row r="192" s="79" customFormat="1" x14ac:dyDescent="0.25"/>
    <row r="193" s="79" customFormat="1" x14ac:dyDescent="0.25"/>
    <row r="194" s="79" customFormat="1" x14ac:dyDescent="0.25"/>
    <row r="195" s="79" customFormat="1" x14ac:dyDescent="0.25"/>
    <row r="196" s="79" customFormat="1" x14ac:dyDescent="0.25"/>
    <row r="197" s="79" customFormat="1" x14ac:dyDescent="0.25"/>
    <row r="198" s="79" customFormat="1" x14ac:dyDescent="0.25"/>
    <row r="199" s="79" customFormat="1" x14ac:dyDescent="0.25"/>
    <row r="200" s="79" customFormat="1" x14ac:dyDescent="0.25"/>
    <row r="201" s="79" customFormat="1" x14ac:dyDescent="0.25"/>
    <row r="202" s="79" customFormat="1" x14ac:dyDescent="0.25"/>
    <row r="203" s="79" customFormat="1" x14ac:dyDescent="0.25"/>
    <row r="204" s="79" customFormat="1" x14ac:dyDescent="0.25"/>
    <row r="205" s="79" customFormat="1" x14ac:dyDescent="0.25"/>
    <row r="206" s="79" customFormat="1" x14ac:dyDescent="0.25"/>
    <row r="207" s="79" customFormat="1" x14ac:dyDescent="0.25"/>
    <row r="208" s="79" customFormat="1" x14ac:dyDescent="0.25"/>
    <row r="209" s="79" customFormat="1" x14ac:dyDescent="0.25"/>
    <row r="210" s="79" customFormat="1" x14ac:dyDescent="0.25"/>
    <row r="211" s="79" customFormat="1" x14ac:dyDescent="0.25"/>
    <row r="212" s="79" customFormat="1" x14ac:dyDescent="0.25"/>
    <row r="213" s="79" customFormat="1" x14ac:dyDescent="0.25"/>
    <row r="214" s="79" customFormat="1" x14ac:dyDescent="0.25"/>
    <row r="215" s="79" customFormat="1" x14ac:dyDescent="0.25"/>
    <row r="216" s="79" customFormat="1" x14ac:dyDescent="0.25"/>
    <row r="217" s="79" customFormat="1" x14ac:dyDescent="0.25"/>
    <row r="218" s="79" customFormat="1" x14ac:dyDescent="0.25"/>
    <row r="219" s="79" customFormat="1" x14ac:dyDescent="0.25"/>
    <row r="220" s="79" customFormat="1" x14ac:dyDescent="0.25"/>
    <row r="221" s="79" customFormat="1" x14ac:dyDescent="0.25"/>
    <row r="222" s="79" customFormat="1" x14ac:dyDescent="0.25"/>
  </sheetData>
  <mergeCells count="1">
    <mergeCell ref="I29:I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42BF-1FBA-43AC-8C8B-B03FF467B936}">
  <dimension ref="A2:E33"/>
  <sheetViews>
    <sheetView workbookViewId="0">
      <selection sqref="A1:XFD1048576"/>
    </sheetView>
  </sheetViews>
  <sheetFormatPr defaultRowHeight="11.5" x14ac:dyDescent="0.25"/>
  <cols>
    <col min="1" max="1" width="6.453125" style="79" bestFit="1" customWidth="1"/>
    <col min="2" max="2" width="9.1796875" style="79" bestFit="1" customWidth="1"/>
    <col min="3" max="4" width="10.1796875" style="79" bestFit="1" customWidth="1"/>
    <col min="5" max="5" width="9.1796875" style="79" bestFit="1" customWidth="1"/>
    <col min="6" max="16384" width="8.7265625" style="79"/>
  </cols>
  <sheetData>
    <row r="2" spans="1:5" s="90" customFormat="1" x14ac:dyDescent="0.25">
      <c r="A2" s="90" t="s">
        <v>170</v>
      </c>
      <c r="B2" s="90" t="s">
        <v>28</v>
      </c>
      <c r="C2" s="90" t="s">
        <v>29</v>
      </c>
      <c r="D2" s="90" t="s">
        <v>31</v>
      </c>
      <c r="E2" s="90" t="s">
        <v>32</v>
      </c>
    </row>
    <row r="3" spans="1:5" x14ac:dyDescent="0.25">
      <c r="A3" s="157">
        <v>44896</v>
      </c>
      <c r="B3" s="92">
        <v>1500</v>
      </c>
      <c r="C3" s="92">
        <v>9300</v>
      </c>
      <c r="D3" s="92">
        <v>18300</v>
      </c>
      <c r="E3" s="92">
        <v>5150</v>
      </c>
    </row>
    <row r="4" spans="1:5" x14ac:dyDescent="0.25">
      <c r="A4" s="157">
        <f>A3+1</f>
        <v>44897</v>
      </c>
      <c r="B4" s="92">
        <v>2050</v>
      </c>
      <c r="C4" s="92">
        <v>10000</v>
      </c>
      <c r="D4" s="92">
        <v>19250</v>
      </c>
      <c r="E4" s="92">
        <v>3650</v>
      </c>
    </row>
    <row r="5" spans="1:5" x14ac:dyDescent="0.25">
      <c r="A5" s="157">
        <f t="shared" ref="A5:A33" si="0">A4+1</f>
        <v>44898</v>
      </c>
      <c r="B5" s="92">
        <v>1800</v>
      </c>
      <c r="C5" s="92">
        <v>10650</v>
      </c>
      <c r="D5" s="92">
        <v>20350</v>
      </c>
      <c r="E5" s="92">
        <v>3800</v>
      </c>
    </row>
    <row r="6" spans="1:5" x14ac:dyDescent="0.25">
      <c r="A6" s="157">
        <f t="shared" si="0"/>
        <v>44899</v>
      </c>
      <c r="B6" s="92">
        <v>2050</v>
      </c>
      <c r="C6" s="92">
        <v>10600</v>
      </c>
      <c r="D6" s="92">
        <v>21850</v>
      </c>
      <c r="E6" s="92">
        <v>3750</v>
      </c>
    </row>
    <row r="7" spans="1:5" x14ac:dyDescent="0.25">
      <c r="A7" s="157">
        <f t="shared" si="0"/>
        <v>44900</v>
      </c>
      <c r="B7" s="92">
        <v>1950</v>
      </c>
      <c r="C7" s="92">
        <v>9300</v>
      </c>
      <c r="D7" s="92">
        <v>19400</v>
      </c>
      <c r="E7" s="92">
        <v>3400</v>
      </c>
    </row>
    <row r="8" spans="1:5" x14ac:dyDescent="0.25">
      <c r="A8" s="157">
        <f t="shared" si="0"/>
        <v>44901</v>
      </c>
      <c r="B8" s="92">
        <v>1850</v>
      </c>
      <c r="C8" s="92">
        <v>9050</v>
      </c>
      <c r="D8" s="92">
        <v>17550</v>
      </c>
      <c r="E8" s="92">
        <v>3350</v>
      </c>
    </row>
    <row r="9" spans="1:5" x14ac:dyDescent="0.25">
      <c r="A9" s="157">
        <f t="shared" si="0"/>
        <v>44902</v>
      </c>
      <c r="B9" s="92">
        <v>1950</v>
      </c>
      <c r="C9" s="92">
        <v>9450</v>
      </c>
      <c r="D9" s="92">
        <v>17950</v>
      </c>
      <c r="E9" s="92">
        <v>3200</v>
      </c>
    </row>
    <row r="10" spans="1:5" x14ac:dyDescent="0.25">
      <c r="A10" s="157">
        <f t="shared" si="0"/>
        <v>44903</v>
      </c>
      <c r="B10" s="92">
        <v>1800</v>
      </c>
      <c r="C10" s="92">
        <v>9100</v>
      </c>
      <c r="D10" s="92">
        <v>17800</v>
      </c>
      <c r="E10" s="92">
        <v>3400</v>
      </c>
    </row>
    <row r="11" spans="1:5" x14ac:dyDescent="0.25">
      <c r="A11" s="157">
        <f t="shared" si="0"/>
        <v>44904</v>
      </c>
      <c r="B11" s="92">
        <v>1550</v>
      </c>
      <c r="C11" s="92">
        <v>8950</v>
      </c>
      <c r="D11" s="92">
        <v>18050</v>
      </c>
      <c r="E11" s="92">
        <v>3550</v>
      </c>
    </row>
    <row r="12" spans="1:5" x14ac:dyDescent="0.25">
      <c r="A12" s="157">
        <f t="shared" si="0"/>
        <v>44905</v>
      </c>
      <c r="B12" s="92">
        <v>2300</v>
      </c>
      <c r="C12" s="92">
        <v>9350</v>
      </c>
      <c r="D12" s="92">
        <v>20250</v>
      </c>
      <c r="E12" s="92">
        <v>3650</v>
      </c>
    </row>
    <row r="13" spans="1:5" x14ac:dyDescent="0.25">
      <c r="A13" s="157">
        <f t="shared" si="0"/>
        <v>44906</v>
      </c>
      <c r="B13" s="92">
        <v>2000</v>
      </c>
      <c r="C13" s="92">
        <v>10850</v>
      </c>
      <c r="D13" s="92">
        <v>20650</v>
      </c>
      <c r="E13" s="92">
        <v>3650</v>
      </c>
    </row>
    <row r="14" spans="1:5" x14ac:dyDescent="0.25">
      <c r="A14" s="157">
        <f t="shared" si="0"/>
        <v>44907</v>
      </c>
      <c r="B14" s="92">
        <v>2700</v>
      </c>
      <c r="C14" s="92">
        <v>9150</v>
      </c>
      <c r="D14" s="92">
        <v>15600</v>
      </c>
      <c r="E14" s="92">
        <v>3200</v>
      </c>
    </row>
    <row r="15" spans="1:5" x14ac:dyDescent="0.25">
      <c r="A15" s="157">
        <f t="shared" si="0"/>
        <v>44908</v>
      </c>
      <c r="B15" s="92">
        <v>1750</v>
      </c>
      <c r="C15" s="92">
        <v>9150</v>
      </c>
      <c r="D15" s="92">
        <v>18400</v>
      </c>
      <c r="E15" s="92">
        <v>3300</v>
      </c>
    </row>
    <row r="16" spans="1:5" x14ac:dyDescent="0.25">
      <c r="A16" s="157">
        <f t="shared" si="0"/>
        <v>44909</v>
      </c>
      <c r="B16" s="92">
        <v>2100</v>
      </c>
      <c r="C16" s="92">
        <v>9350</v>
      </c>
      <c r="D16" s="92">
        <v>17200</v>
      </c>
      <c r="E16" s="92">
        <v>3250</v>
      </c>
    </row>
    <row r="17" spans="1:5" x14ac:dyDescent="0.25">
      <c r="A17" s="157">
        <f t="shared" si="0"/>
        <v>44910</v>
      </c>
      <c r="B17" s="92">
        <v>1750</v>
      </c>
      <c r="C17" s="92">
        <v>9200</v>
      </c>
      <c r="D17" s="92">
        <v>16150</v>
      </c>
      <c r="E17" s="92">
        <v>3550</v>
      </c>
    </row>
    <row r="18" spans="1:5" x14ac:dyDescent="0.25">
      <c r="A18" s="157">
        <f t="shared" si="0"/>
        <v>44911</v>
      </c>
      <c r="B18" s="92">
        <v>1750</v>
      </c>
      <c r="C18" s="92">
        <v>9500</v>
      </c>
      <c r="D18" s="92">
        <v>17200</v>
      </c>
      <c r="E18" s="92">
        <v>3900</v>
      </c>
    </row>
    <row r="19" spans="1:5" x14ac:dyDescent="0.25">
      <c r="A19" s="157">
        <f t="shared" si="0"/>
        <v>44912</v>
      </c>
      <c r="B19" s="92">
        <v>2500</v>
      </c>
      <c r="C19" s="92">
        <v>10000</v>
      </c>
      <c r="D19" s="92">
        <v>19650</v>
      </c>
      <c r="E19" s="92">
        <v>4000</v>
      </c>
    </row>
    <row r="20" spans="1:5" x14ac:dyDescent="0.25">
      <c r="A20" s="157">
        <f t="shared" si="0"/>
        <v>44913</v>
      </c>
      <c r="B20" s="92">
        <v>2500</v>
      </c>
      <c r="C20" s="92">
        <v>11000</v>
      </c>
      <c r="D20" s="92">
        <v>21000</v>
      </c>
      <c r="E20" s="92">
        <v>4050</v>
      </c>
    </row>
    <row r="21" spans="1:5" x14ac:dyDescent="0.25">
      <c r="A21" s="157">
        <f t="shared" si="0"/>
        <v>44914</v>
      </c>
      <c r="B21" s="92">
        <v>1800</v>
      </c>
      <c r="C21" s="92">
        <v>9300</v>
      </c>
      <c r="D21" s="92">
        <v>17350</v>
      </c>
      <c r="E21" s="92">
        <v>3700</v>
      </c>
    </row>
    <row r="22" spans="1:5" x14ac:dyDescent="0.25">
      <c r="A22" s="157">
        <f t="shared" si="0"/>
        <v>44915</v>
      </c>
      <c r="B22" s="92">
        <v>1000</v>
      </c>
      <c r="C22" s="92">
        <v>8150</v>
      </c>
      <c r="D22" s="92">
        <v>250</v>
      </c>
      <c r="E22" s="92">
        <v>3650</v>
      </c>
    </row>
    <row r="23" spans="1:5" x14ac:dyDescent="0.25">
      <c r="A23" s="157">
        <f t="shared" si="0"/>
        <v>44916</v>
      </c>
      <c r="B23" s="92">
        <v>1750</v>
      </c>
      <c r="C23" s="92">
        <v>9450</v>
      </c>
      <c r="D23" s="92">
        <v>18350</v>
      </c>
      <c r="E23" s="92">
        <v>3650</v>
      </c>
    </row>
    <row r="24" spans="1:5" x14ac:dyDescent="0.25">
      <c r="A24" s="157">
        <f t="shared" si="0"/>
        <v>44917</v>
      </c>
      <c r="B24" s="92">
        <v>1800</v>
      </c>
      <c r="C24" s="92">
        <v>9400</v>
      </c>
      <c r="D24" s="92">
        <v>17300</v>
      </c>
      <c r="E24" s="92">
        <v>3800</v>
      </c>
    </row>
    <row r="25" spans="1:5" x14ac:dyDescent="0.25">
      <c r="A25" s="157">
        <f t="shared" si="0"/>
        <v>44918</v>
      </c>
      <c r="B25" s="92">
        <v>1600</v>
      </c>
      <c r="C25" s="92">
        <v>9650</v>
      </c>
      <c r="D25" s="92">
        <v>17900</v>
      </c>
      <c r="E25" s="92">
        <v>3900</v>
      </c>
    </row>
    <row r="26" spans="1:5" x14ac:dyDescent="0.25">
      <c r="A26" s="157">
        <f t="shared" si="0"/>
        <v>44919</v>
      </c>
      <c r="B26" s="92">
        <v>2500</v>
      </c>
      <c r="C26" s="92">
        <v>11050</v>
      </c>
      <c r="D26" s="92">
        <v>20650</v>
      </c>
      <c r="E26" s="92">
        <v>4300</v>
      </c>
    </row>
    <row r="27" spans="1:5" x14ac:dyDescent="0.25">
      <c r="A27" s="157">
        <f t="shared" si="0"/>
        <v>44920</v>
      </c>
      <c r="B27" s="92">
        <v>2600</v>
      </c>
      <c r="C27" s="92">
        <v>11350</v>
      </c>
      <c r="D27" s="92">
        <v>22100</v>
      </c>
      <c r="E27" s="92">
        <v>4350</v>
      </c>
    </row>
    <row r="28" spans="1:5" x14ac:dyDescent="0.25">
      <c r="A28" s="157">
        <f t="shared" si="0"/>
        <v>44921</v>
      </c>
      <c r="B28" s="92">
        <v>2200</v>
      </c>
      <c r="C28" s="92">
        <v>10450</v>
      </c>
      <c r="D28" s="92">
        <v>20600</v>
      </c>
      <c r="E28" s="92">
        <v>3850</v>
      </c>
    </row>
    <row r="29" spans="1:5" x14ac:dyDescent="0.25">
      <c r="A29" s="157">
        <f t="shared" si="0"/>
        <v>44922</v>
      </c>
      <c r="B29" s="92">
        <v>1900</v>
      </c>
      <c r="C29" s="92">
        <v>11000</v>
      </c>
      <c r="D29" s="92">
        <v>20650</v>
      </c>
      <c r="E29" s="92">
        <v>3850</v>
      </c>
    </row>
    <row r="30" spans="1:5" x14ac:dyDescent="0.25">
      <c r="A30" s="157">
        <f t="shared" si="0"/>
        <v>44923</v>
      </c>
      <c r="B30" s="92">
        <v>1900</v>
      </c>
      <c r="C30" s="92">
        <v>10450</v>
      </c>
      <c r="D30" s="92">
        <v>20600</v>
      </c>
      <c r="E30" s="92">
        <v>4050</v>
      </c>
    </row>
    <row r="31" spans="1:5" x14ac:dyDescent="0.25">
      <c r="A31" s="157">
        <f t="shared" si="0"/>
        <v>44924</v>
      </c>
      <c r="B31" s="92"/>
      <c r="C31" s="92"/>
      <c r="D31" s="92"/>
      <c r="E31" s="92"/>
    </row>
    <row r="32" spans="1:5" x14ac:dyDescent="0.25">
      <c r="A32" s="157">
        <f t="shared" si="0"/>
        <v>44925</v>
      </c>
      <c r="B32" s="92"/>
      <c r="C32" s="92"/>
      <c r="D32" s="92"/>
      <c r="E32" s="92"/>
    </row>
    <row r="33" spans="1:5" x14ac:dyDescent="0.25">
      <c r="A33" s="157">
        <f t="shared" si="0"/>
        <v>44926</v>
      </c>
      <c r="B33" s="92"/>
      <c r="C33" s="92"/>
      <c r="D33" s="92"/>
      <c r="E33" s="9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337E-B22F-41CB-88A9-910CB25AD3AD}">
  <dimension ref="A2:O222"/>
  <sheetViews>
    <sheetView zoomScale="80" zoomScaleNormal="80" workbookViewId="0">
      <selection activeCell="I23" sqref="I23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7" style="1" bestFit="1" customWidth="1"/>
    <col min="11" max="11" width="15.1796875" style="1" bestFit="1" customWidth="1"/>
    <col min="12" max="13" width="14.1796875" style="1" bestFit="1" customWidth="1"/>
    <col min="14" max="14" width="12.453125" style="1" customWidth="1"/>
    <col min="15" max="15" width="9.90625" style="1" bestFit="1" customWidth="1"/>
    <col min="16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x14ac:dyDescent="0.3">
      <c r="A3" s="29" t="s">
        <v>59</v>
      </c>
      <c r="B3" s="30"/>
      <c r="C3" s="33">
        <v>0</v>
      </c>
      <c r="D3" s="33">
        <f>'Energy Schedule'!D103</f>
        <v>12</v>
      </c>
      <c r="E3" s="34">
        <f>'Energy Schedule'!E103</f>
        <v>5.25</v>
      </c>
      <c r="G3" s="62"/>
      <c r="H3" s="62"/>
    </row>
    <row r="4" spans="1:11" x14ac:dyDescent="0.3">
      <c r="A4" s="31" t="s">
        <v>10</v>
      </c>
      <c r="B4" s="32"/>
      <c r="C4" s="34">
        <f>'Energy Schedule'!C5</f>
        <v>0</v>
      </c>
      <c r="D4" s="34">
        <f>'Energy Schedule'!D5</f>
        <v>45070.355000000003</v>
      </c>
      <c r="E4" s="34">
        <f>'Energy Schedule'!E5</f>
        <v>3103.11</v>
      </c>
      <c r="G4" s="62"/>
      <c r="H4" s="62"/>
    </row>
    <row r="5" spans="1:11" x14ac:dyDescent="0.3">
      <c r="A5" s="40" t="s">
        <v>58</v>
      </c>
      <c r="C5" s="48">
        <f>C3*1000</f>
        <v>0</v>
      </c>
      <c r="D5" s="48">
        <f t="shared" ref="D5:E5" si="0">D3*1000</f>
        <v>12000</v>
      </c>
      <c r="E5" s="48">
        <f t="shared" si="0"/>
        <v>5250</v>
      </c>
      <c r="G5" s="62"/>
      <c r="H5" s="62"/>
      <c r="I5" s="1" t="s">
        <v>168</v>
      </c>
      <c r="J5" s="1" t="s">
        <v>167</v>
      </c>
      <c r="K5" s="1" t="s">
        <v>36</v>
      </c>
    </row>
    <row r="6" spans="1:11" x14ac:dyDescent="0.3">
      <c r="A6" s="40" t="s">
        <v>47</v>
      </c>
      <c r="B6" s="51">
        <f>'Energy Schedule'!D3</f>
        <v>3.4299999999999997E-2</v>
      </c>
      <c r="C6" s="49">
        <f>C5-(C5*$B$6)</f>
        <v>0</v>
      </c>
      <c r="D6" s="49">
        <f>D5-(D5*$B$6)</f>
        <v>11588.4</v>
      </c>
      <c r="E6" s="49">
        <f>E5-(E5*$B$6)</f>
        <v>5069.9250000000002</v>
      </c>
      <c r="G6" s="62"/>
      <c r="H6" s="62" t="s">
        <v>28</v>
      </c>
      <c r="I6" s="76">
        <f>D33</f>
        <v>0</v>
      </c>
      <c r="J6" s="1">
        <f>'Consumption Details'!$B3</f>
        <v>1500</v>
      </c>
      <c r="K6" s="14">
        <f>J6-I6</f>
        <v>1500</v>
      </c>
    </row>
    <row r="7" spans="1:11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11317.23144</v>
      </c>
      <c r="E7" s="49">
        <f>E6-(E6*$B$7)</f>
        <v>4951.2887550000005</v>
      </c>
      <c r="G7" s="62"/>
      <c r="H7" s="62" t="s">
        <v>29</v>
      </c>
      <c r="I7" s="76">
        <f t="shared" ref="I7:I9" si="1">D34</f>
        <v>6935.3408918249997</v>
      </c>
      <c r="J7" s="1">
        <f>'Consumption Details'!$C3</f>
        <v>9300</v>
      </c>
      <c r="K7" s="14">
        <f t="shared" ref="K7:K10" si="2">J7-I7</f>
        <v>2364.6591081750003</v>
      </c>
    </row>
    <row r="8" spans="1:11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11096.54542692</v>
      </c>
      <c r="E8" s="49">
        <f>E7-(E7*$B$8)</f>
        <v>4854.7386242775001</v>
      </c>
      <c r="G8" s="62"/>
      <c r="H8" s="62" t="s">
        <v>31</v>
      </c>
      <c r="I8" s="76">
        <f t="shared" si="1"/>
        <v>3467.6704459124999</v>
      </c>
      <c r="J8" s="1">
        <f>'Consumption Details'!$D3</f>
        <v>18300</v>
      </c>
      <c r="K8" s="14">
        <f t="shared" si="2"/>
        <v>14832.329554087501</v>
      </c>
    </row>
    <row r="9" spans="1:11" x14ac:dyDescent="0.3">
      <c r="A9" s="40" t="s">
        <v>50</v>
      </c>
      <c r="C9" s="49">
        <f>C8</f>
        <v>0</v>
      </c>
      <c r="D9" s="49">
        <f>D8</f>
        <v>11096.54542692</v>
      </c>
      <c r="E9" s="49">
        <f>E8</f>
        <v>4854.7386242775001</v>
      </c>
      <c r="G9" s="62"/>
      <c r="H9" s="62" t="s">
        <v>32</v>
      </c>
      <c r="I9" s="76">
        <f t="shared" si="1"/>
        <v>5548.27271346</v>
      </c>
      <c r="J9" s="1">
        <f>'Consumption Details'!$E3</f>
        <v>5150</v>
      </c>
      <c r="K9" s="14">
        <f t="shared" si="2"/>
        <v>-398.27271345999998</v>
      </c>
    </row>
    <row r="10" spans="1:11" x14ac:dyDescent="0.3">
      <c r="A10" s="40" t="s">
        <v>51</v>
      </c>
      <c r="C10" s="49" t="e">
        <f>C4/C9</f>
        <v>#DIV/0!</v>
      </c>
      <c r="D10" s="49">
        <f>D4/D9</f>
        <v>4.0616564224267684</v>
      </c>
      <c r="E10" s="49">
        <f>E4/E9</f>
        <v>0.63919198131121147</v>
      </c>
      <c r="G10" s="62"/>
      <c r="H10" s="62"/>
      <c r="K10" s="14">
        <f t="shared" si="2"/>
        <v>0</v>
      </c>
    </row>
    <row r="11" spans="1:11" x14ac:dyDescent="0.3">
      <c r="A11" s="40" t="s">
        <v>6</v>
      </c>
      <c r="B11" s="11">
        <f>'TNEB Charges'!B5</f>
        <v>0.02</v>
      </c>
      <c r="C11" s="49">
        <f>(C3*1000*$B$11)+(C3*1000*$B$11*18%)</f>
        <v>0</v>
      </c>
      <c r="D11" s="49">
        <f>(D3*1000*$B$11)+(D3*1000*$B$11*18%)</f>
        <v>283.2</v>
      </c>
      <c r="E11" s="49">
        <f>(E3*1000*$B$11)+(E3*1000*$B$11*18%)</f>
        <v>123.9</v>
      </c>
      <c r="G11" s="62"/>
      <c r="H11" s="62"/>
    </row>
    <row r="12" spans="1:11" x14ac:dyDescent="0.3">
      <c r="A12" s="40" t="s">
        <v>52</v>
      </c>
      <c r="B12" s="18"/>
      <c r="C12" s="60">
        <f>'Energy Schedule'!C$6</f>
        <v>0</v>
      </c>
      <c r="D12" s="60">
        <f>'Energy Schedule'!D$6</f>
        <v>9.09</v>
      </c>
      <c r="E12" s="60">
        <f>'Energy Schedule'!E$6</f>
        <v>13.7</v>
      </c>
      <c r="G12" s="62"/>
      <c r="H12" s="62"/>
    </row>
    <row r="13" spans="1:11" x14ac:dyDescent="0.3">
      <c r="A13" s="40" t="s">
        <v>53</v>
      </c>
      <c r="B13" s="11">
        <f>'TNEB Charges'!B7</f>
        <v>457.6</v>
      </c>
      <c r="C13" s="50">
        <f>C3*$B$13</f>
        <v>0</v>
      </c>
      <c r="D13" s="50">
        <f>D3*$B$13</f>
        <v>5491.2000000000007</v>
      </c>
      <c r="E13" s="49">
        <f>E3*$B$13</f>
        <v>2402.4</v>
      </c>
      <c r="G13" s="62"/>
      <c r="H13" s="62"/>
    </row>
    <row r="14" spans="1:11" x14ac:dyDescent="0.3">
      <c r="A14" s="40" t="s">
        <v>7</v>
      </c>
      <c r="B14" s="11">
        <f>'TNEB Charges'!B8</f>
        <v>1</v>
      </c>
      <c r="C14" s="49">
        <f>C3*$B$14</f>
        <v>0</v>
      </c>
      <c r="D14" s="49">
        <f>D3*$B$14</f>
        <v>12</v>
      </c>
      <c r="E14" s="49">
        <f>E3*$B$14</f>
        <v>5.25</v>
      </c>
      <c r="G14" s="62"/>
      <c r="H14" s="62"/>
    </row>
    <row r="15" spans="1:11" x14ac:dyDescent="0.3">
      <c r="A15" s="40" t="s">
        <v>8</v>
      </c>
      <c r="B15" s="11">
        <f>'TNEB Charges'!B9</f>
        <v>260</v>
      </c>
      <c r="C15" s="50">
        <f>C3*$B$15</f>
        <v>0</v>
      </c>
      <c r="D15" s="50">
        <f>D3*$B$15</f>
        <v>3120</v>
      </c>
      <c r="E15" s="49">
        <f>E3*$B$15</f>
        <v>1365</v>
      </c>
      <c r="G15" s="62"/>
      <c r="H15" s="62"/>
    </row>
    <row r="16" spans="1:11" x14ac:dyDescent="0.3">
      <c r="A16" s="40" t="s">
        <v>9</v>
      </c>
      <c r="B16" s="11">
        <f>'TNEB Charges'!B10</f>
        <v>170</v>
      </c>
      <c r="C16" s="49">
        <f>IF(C3&gt;0,$B$16,0)</f>
        <v>0</v>
      </c>
      <c r="D16" s="49">
        <f>IF(D3&gt;0,$B$16,0)</f>
        <v>170</v>
      </c>
      <c r="E16" s="49">
        <f>IF(E3&gt;0,$B$16,0)</f>
        <v>170</v>
      </c>
      <c r="G16" s="62"/>
      <c r="H16" s="62"/>
    </row>
    <row r="17" spans="1:15" x14ac:dyDescent="0.3">
      <c r="A17" s="40" t="s">
        <v>54</v>
      </c>
      <c r="B17" s="11">
        <f>'TNEB Charges'!B11</f>
        <v>33.74</v>
      </c>
      <c r="C17" s="49">
        <f>C3*$B$17/24</f>
        <v>0</v>
      </c>
      <c r="D17" s="49">
        <f>D3*$B$17/24</f>
        <v>16.87</v>
      </c>
      <c r="E17" s="49">
        <f>E3*$B$17/24</f>
        <v>7.3806250000000011</v>
      </c>
      <c r="G17" s="62"/>
      <c r="H17" s="62"/>
    </row>
    <row r="18" spans="1:15" x14ac:dyDescent="0.3">
      <c r="A18" s="40" t="s">
        <v>55</v>
      </c>
      <c r="B18" s="11">
        <f>'TNEB Charges'!B12</f>
        <v>0.02</v>
      </c>
      <c r="C18" s="49">
        <f>C3*$B$18*1000</f>
        <v>0</v>
      </c>
      <c r="D18" s="49">
        <f>D3*$B$18*1000</f>
        <v>240</v>
      </c>
      <c r="E18" s="49">
        <f>E3*$B$18*1000</f>
        <v>105</v>
      </c>
      <c r="G18" s="62"/>
      <c r="H18" s="62"/>
    </row>
    <row r="19" spans="1:15" x14ac:dyDescent="0.3">
      <c r="A19" s="40" t="s">
        <v>2</v>
      </c>
      <c r="B19" s="11">
        <f>'TNEB Charges'!B13</f>
        <v>1.99</v>
      </c>
      <c r="C19" s="49">
        <f>C9*$B$19</f>
        <v>0</v>
      </c>
      <c r="D19" s="49">
        <f>D9*$B$19</f>
        <v>22082.125399570799</v>
      </c>
      <c r="E19" s="49">
        <f>E9*$B$19</f>
        <v>9660.9298623122249</v>
      </c>
      <c r="G19" s="62"/>
      <c r="H19" s="62"/>
    </row>
    <row r="20" spans="1:15" x14ac:dyDescent="0.3">
      <c r="A20" s="40" t="s">
        <v>3</v>
      </c>
      <c r="B20" s="11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62"/>
      <c r="H20" s="62"/>
    </row>
    <row r="21" spans="1:15" x14ac:dyDescent="0.3">
      <c r="A21" s="40" t="s">
        <v>4</v>
      </c>
      <c r="B21" s="11">
        <f>'TNEB Charges'!B15</f>
        <v>1.04</v>
      </c>
      <c r="C21" s="49">
        <f>C8*$B$21</f>
        <v>0</v>
      </c>
      <c r="D21" s="49">
        <f>D8*$B$21</f>
        <v>11540.4072439968</v>
      </c>
      <c r="E21" s="49">
        <f>E8*$B$21</f>
        <v>5048.9281692486002</v>
      </c>
      <c r="G21" s="62"/>
      <c r="H21" s="62"/>
    </row>
    <row r="22" spans="1:15" x14ac:dyDescent="0.3">
      <c r="A22" s="40" t="s">
        <v>43</v>
      </c>
      <c r="B22" s="11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62"/>
      <c r="H22" s="62"/>
    </row>
    <row r="23" spans="1:15" x14ac:dyDescent="0.3">
      <c r="A23" s="40" t="s">
        <v>5</v>
      </c>
      <c r="B23" s="11">
        <f>'TNEB Charges'!B17</f>
        <v>0.12</v>
      </c>
      <c r="C23" s="50">
        <v>0</v>
      </c>
      <c r="D23" s="50">
        <f>D9*$B$23*10.5%</f>
        <v>139.81647237919199</v>
      </c>
      <c r="E23" s="49">
        <f>E9*$B$23*10.5%</f>
        <v>61.169706665896499</v>
      </c>
      <c r="G23" s="62"/>
      <c r="H23" s="62"/>
    </row>
    <row r="24" spans="1:15" ht="13.5" thickBot="1" x14ac:dyDescent="0.35">
      <c r="A24" s="53" t="s">
        <v>57</v>
      </c>
      <c r="B24" s="54">
        <f>'TNEB Charges'!B18</f>
        <v>0.12</v>
      </c>
      <c r="C24" s="54">
        <v>0</v>
      </c>
      <c r="D24" s="54">
        <f>D9*$B$24*10.5%</f>
        <v>139.81647237919199</v>
      </c>
      <c r="E24" s="55">
        <f>E9*$B$24*10.5%</f>
        <v>61.169706665896499</v>
      </c>
      <c r="G24" s="62"/>
      <c r="H24" s="62"/>
    </row>
    <row r="25" spans="1:15" ht="13.5" thickTop="1" x14ac:dyDescent="0.3">
      <c r="A25" s="40" t="s">
        <v>56</v>
      </c>
      <c r="B25" s="19"/>
      <c r="C25" s="20">
        <f>SUM(C11:C24)</f>
        <v>0</v>
      </c>
      <c r="D25" s="20">
        <f>SUM(D11:D24)</f>
        <v>43244.525588325989</v>
      </c>
      <c r="E25" s="59">
        <f>SUM(E11:E24)</f>
        <v>19024.828069892617</v>
      </c>
      <c r="G25" s="62"/>
      <c r="H25" s="62"/>
    </row>
    <row r="26" spans="1:15" x14ac:dyDescent="0.3">
      <c r="A26" s="31"/>
      <c r="B26" s="56"/>
      <c r="C26" s="57" t="e">
        <f>C25/C9</f>
        <v>#DIV/0!</v>
      </c>
      <c r="D26" s="57">
        <f>D25/D9</f>
        <v>3.8971160775330693</v>
      </c>
      <c r="E26" s="58">
        <f>E25/E9</f>
        <v>3.9188161386801665</v>
      </c>
      <c r="G26" s="62"/>
      <c r="H26" s="62"/>
    </row>
    <row r="27" spans="1:15" x14ac:dyDescent="0.3">
      <c r="A27" s="1" t="s">
        <v>161</v>
      </c>
      <c r="C27" s="14">
        <f>C4+C25</f>
        <v>0</v>
      </c>
      <c r="D27" s="14">
        <f>D4+D25</f>
        <v>88314.880588325992</v>
      </c>
      <c r="E27" s="14">
        <f>E4+E25</f>
        <v>22127.938069892618</v>
      </c>
      <c r="G27" s="62"/>
      <c r="H27" s="62"/>
    </row>
    <row r="28" spans="1:15" ht="13.5" thickBot="1" x14ac:dyDescent="0.35">
      <c r="A28" s="1" t="s">
        <v>162</v>
      </c>
      <c r="C28" s="16" t="e">
        <f>C27/C9</f>
        <v>#DIV/0!</v>
      </c>
      <c r="D28" s="16">
        <f>D27/D9</f>
        <v>7.9587724999598377</v>
      </c>
      <c r="E28" s="16">
        <f>E27/E9</f>
        <v>4.5580081199913778</v>
      </c>
      <c r="G28" s="62"/>
      <c r="H28" s="62"/>
    </row>
    <row r="29" spans="1:15" ht="13.5" thickBot="1" x14ac:dyDescent="0.35">
      <c r="G29" s="62"/>
      <c r="H29" s="63"/>
      <c r="I29" s="172" t="s">
        <v>15</v>
      </c>
      <c r="J29" s="69" t="s">
        <v>37</v>
      </c>
      <c r="K29" s="69" t="s">
        <v>38</v>
      </c>
      <c r="L29" s="69" t="s">
        <v>39</v>
      </c>
      <c r="M29" s="69" t="s">
        <v>39</v>
      </c>
      <c r="N29" s="69" t="s">
        <v>40</v>
      </c>
      <c r="O29" s="69" t="s">
        <v>41</v>
      </c>
    </row>
    <row r="30" spans="1:15" ht="13.5" thickBot="1" x14ac:dyDescent="0.35">
      <c r="A30" s="15" t="s">
        <v>35</v>
      </c>
      <c r="B30" s="15"/>
      <c r="C30" s="15"/>
      <c r="D30" s="15"/>
      <c r="E30" s="15"/>
      <c r="F30" s="15"/>
      <c r="G30" s="62"/>
      <c r="H30" s="63"/>
      <c r="I30" s="173"/>
      <c r="J30" s="70" t="s">
        <v>28</v>
      </c>
      <c r="K30" s="70" t="s">
        <v>29</v>
      </c>
      <c r="L30" s="70" t="s">
        <v>31</v>
      </c>
      <c r="M30" s="70" t="s">
        <v>32</v>
      </c>
      <c r="N30" s="70" t="s">
        <v>156</v>
      </c>
      <c r="O30" s="70"/>
    </row>
    <row r="31" spans="1:15" ht="13.5" thickBot="1" x14ac:dyDescent="0.35">
      <c r="A31" s="21" t="s">
        <v>12</v>
      </c>
      <c r="B31" s="21"/>
      <c r="C31" s="21"/>
      <c r="D31" s="21"/>
      <c r="E31" s="21"/>
      <c r="F31" s="21"/>
      <c r="G31" s="62"/>
      <c r="H31" s="63"/>
      <c r="I31" s="71" t="s">
        <v>42</v>
      </c>
      <c r="J31" s="72">
        <f>$L$31+($L$31*25%)</f>
        <v>10.625</v>
      </c>
      <c r="K31" s="72">
        <f>$L$31+($L$31*25%)</f>
        <v>10.625</v>
      </c>
      <c r="L31" s="72">
        <v>8.5</v>
      </c>
      <c r="M31" s="72">
        <f>$L$31-($L$31*5%)</f>
        <v>8.0749999999999993</v>
      </c>
      <c r="N31" s="72">
        <v>6.03</v>
      </c>
      <c r="O31" s="72">
        <f>AVERAGE(J31:M31)</f>
        <v>9.4562500000000007</v>
      </c>
    </row>
    <row r="32" spans="1:15" ht="13.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62"/>
      <c r="H32" s="63"/>
      <c r="I32" s="71" t="s">
        <v>43</v>
      </c>
      <c r="J32" s="73">
        <v>0.05</v>
      </c>
      <c r="K32" s="73">
        <v>0.05</v>
      </c>
      <c r="L32" s="73">
        <v>0.05</v>
      </c>
      <c r="M32" s="73">
        <v>0.05</v>
      </c>
      <c r="N32" s="73">
        <v>0.05</v>
      </c>
      <c r="O32" s="73">
        <v>0.05</v>
      </c>
    </row>
    <row r="33" spans="1:15" ht="13.5" thickBot="1" x14ac:dyDescent="0.35">
      <c r="A33" s="5" t="s">
        <v>28</v>
      </c>
      <c r="B33" s="23">
        <f>J33</f>
        <v>11.15625</v>
      </c>
      <c r="C33" s="13">
        <f>J39+J46+J53</f>
        <v>0</v>
      </c>
      <c r="D33" s="23">
        <f>M39+M46+M53</f>
        <v>0</v>
      </c>
      <c r="E33" s="3">
        <f>D33*B33</f>
        <v>0</v>
      </c>
      <c r="F33" s="2"/>
      <c r="G33" s="62"/>
      <c r="H33" s="63"/>
      <c r="I33" s="71" t="s">
        <v>44</v>
      </c>
      <c r="J33" s="74">
        <f>J31+(J31*J32)</f>
        <v>11.15625</v>
      </c>
      <c r="K33" s="74">
        <f>K31+(K31*K32)</f>
        <v>11.15625</v>
      </c>
      <c r="L33" s="74">
        <f>L31+(L31*L32)</f>
        <v>8.9250000000000007</v>
      </c>
      <c r="M33" s="74">
        <f>M31+(M31*M32)</f>
        <v>8.4787499999999998</v>
      </c>
      <c r="N33" s="74">
        <f>N31+(N31*N32)</f>
        <v>6.3315000000000001</v>
      </c>
      <c r="O33" s="75">
        <f>AVERAGE(J33:M33)</f>
        <v>9.9290625000000006</v>
      </c>
    </row>
    <row r="34" spans="1:15" x14ac:dyDescent="0.3">
      <c r="A34" s="5" t="s">
        <v>29</v>
      </c>
      <c r="B34" s="23">
        <f>K33</f>
        <v>11.15625</v>
      </c>
      <c r="C34" s="13">
        <f>J41+J48+J55</f>
        <v>7500</v>
      </c>
      <c r="D34" s="13">
        <f>M41+M48+M55</f>
        <v>6935.3408918249997</v>
      </c>
      <c r="E34" s="3">
        <f>D34*B34</f>
        <v>77372.396824422656</v>
      </c>
      <c r="F34" s="2"/>
      <c r="G34" s="62"/>
      <c r="H34" s="63"/>
    </row>
    <row r="35" spans="1:15" x14ac:dyDescent="0.3">
      <c r="A35" s="5" t="s">
        <v>31</v>
      </c>
      <c r="B35" s="23">
        <f>L33</f>
        <v>8.9250000000000007</v>
      </c>
      <c r="C35" s="13">
        <f>J38+J40+J45+J47+J52+J54</f>
        <v>3750</v>
      </c>
      <c r="D35" s="13">
        <f>M38+M40+M45+M47+M52+M54</f>
        <v>3467.6704459124999</v>
      </c>
      <c r="E35" s="3">
        <f>D35*B35</f>
        <v>30948.958729769063</v>
      </c>
      <c r="F35" s="2"/>
      <c r="G35" s="62"/>
      <c r="H35" s="62"/>
    </row>
    <row r="36" spans="1:15" x14ac:dyDescent="0.3">
      <c r="A36" s="5" t="s">
        <v>32</v>
      </c>
      <c r="B36" s="23">
        <f>M33</f>
        <v>8.4787499999999998</v>
      </c>
      <c r="C36" s="13">
        <f>J37+J42+J44+J49+J51+J56</f>
        <v>6000</v>
      </c>
      <c r="D36" s="13">
        <f>M37+M42+M44+M49+M51+M56</f>
        <v>5548.27271346</v>
      </c>
      <c r="E36" s="3">
        <f>D36*B36</f>
        <v>47042.417269248974</v>
      </c>
      <c r="F36" s="2"/>
      <c r="G36" s="62"/>
      <c r="H36" s="62"/>
      <c r="I36" s="1" t="s">
        <v>45</v>
      </c>
    </row>
    <row r="37" spans="1:15" x14ac:dyDescent="0.3">
      <c r="A37" s="5" t="s">
        <v>1</v>
      </c>
      <c r="B37" s="23"/>
      <c r="C37" s="12">
        <f>SUM(C33:C36)</f>
        <v>17250</v>
      </c>
      <c r="D37" s="12">
        <f>SUM(D33:D36)</f>
        <v>15951.284051197501</v>
      </c>
      <c r="E37" s="10">
        <f>SUM(E33:E36)</f>
        <v>155363.7728234407</v>
      </c>
      <c r="F37" s="23"/>
      <c r="G37" s="62"/>
      <c r="H37" s="14" t="s">
        <v>32</v>
      </c>
      <c r="I37" s="37">
        <f>SUM('Energy Schedule'!C7:C26)/4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x14ac:dyDescent="0.3">
      <c r="A38" s="5"/>
      <c r="C38" s="6"/>
      <c r="D38" s="3"/>
      <c r="E38" s="3"/>
      <c r="F38" s="3"/>
      <c r="G38" s="62"/>
      <c r="H38" s="14" t="s">
        <v>31</v>
      </c>
      <c r="I38" s="38">
        <f>SUM('Energy Schedule'!C27:C30)/4</f>
        <v>0</v>
      </c>
      <c r="J38" s="14">
        <f t="shared" ref="J38:J56" si="3">I38*1000</f>
        <v>0</v>
      </c>
      <c r="K38" s="14">
        <f t="shared" ref="K38:K56" si="4">J38-(J38*$B$6)</f>
        <v>0</v>
      </c>
      <c r="L38" s="14">
        <f t="shared" ref="L38:L56" si="5">K38-(K38*$B$7)</f>
        <v>0</v>
      </c>
      <c r="M38" s="14">
        <f t="shared" ref="M38:M56" si="6">L38-(L38*$B$8)</f>
        <v>0</v>
      </c>
    </row>
    <row r="39" spans="1:15" x14ac:dyDescent="0.3">
      <c r="A39" s="5"/>
      <c r="B39" s="6"/>
      <c r="C39" s="6"/>
      <c r="D39" s="3"/>
      <c r="E39" s="3"/>
      <c r="F39" s="3"/>
      <c r="G39" s="62"/>
      <c r="H39" s="14" t="s">
        <v>28</v>
      </c>
      <c r="I39" s="39">
        <f>SUM('Energy Schedule'!C31:C46)/4</f>
        <v>0</v>
      </c>
      <c r="J39" s="14">
        <f t="shared" si="3"/>
        <v>0</v>
      </c>
      <c r="K39" s="14">
        <f t="shared" si="4"/>
        <v>0</v>
      </c>
      <c r="L39" s="14">
        <f t="shared" si="5"/>
        <v>0</v>
      </c>
      <c r="M39" s="14">
        <f t="shared" si="6"/>
        <v>0</v>
      </c>
    </row>
    <row r="40" spans="1:15" x14ac:dyDescent="0.3">
      <c r="A40" s="40"/>
      <c r="D40" s="6"/>
      <c r="E40" s="6"/>
      <c r="F40" s="6"/>
      <c r="G40" s="62"/>
      <c r="H40" s="14" t="s">
        <v>31</v>
      </c>
      <c r="I40" s="38">
        <f>SUM('Energy Schedule'!C47:C78)/4</f>
        <v>0</v>
      </c>
      <c r="J40" s="14">
        <f t="shared" si="3"/>
        <v>0</v>
      </c>
      <c r="K40" s="14">
        <f t="shared" si="4"/>
        <v>0</v>
      </c>
      <c r="L40" s="14">
        <f t="shared" si="5"/>
        <v>0</v>
      </c>
      <c r="M40" s="14">
        <f t="shared" si="6"/>
        <v>0</v>
      </c>
    </row>
    <row r="41" spans="1:15" x14ac:dyDescent="0.3">
      <c r="A41" s="40"/>
      <c r="F41" s="41"/>
      <c r="G41" s="62"/>
      <c r="H41" s="14" t="s">
        <v>29</v>
      </c>
      <c r="I41" s="39">
        <f>SUM('Energy Schedule'!C79:C94)/4</f>
        <v>0</v>
      </c>
      <c r="J41" s="14">
        <f t="shared" si="3"/>
        <v>0</v>
      </c>
      <c r="K41" s="14">
        <f t="shared" si="4"/>
        <v>0</v>
      </c>
      <c r="L41" s="14">
        <f t="shared" si="5"/>
        <v>0</v>
      </c>
      <c r="M41" s="14">
        <f t="shared" si="6"/>
        <v>0</v>
      </c>
    </row>
    <row r="42" spans="1:15" x14ac:dyDescent="0.3">
      <c r="A42" s="47" t="s">
        <v>17</v>
      </c>
      <c r="B42" s="7">
        <f>C37</f>
        <v>17250</v>
      </c>
      <c r="C42" s="1" t="s">
        <v>28</v>
      </c>
      <c r="D42" s="1">
        <v>700</v>
      </c>
      <c r="F42" s="41"/>
      <c r="G42" s="62"/>
      <c r="H42" s="14" t="s">
        <v>32</v>
      </c>
      <c r="I42" s="37">
        <f>SUM('Energy Schedule'!C95:C102)/4</f>
        <v>0</v>
      </c>
      <c r="J42" s="14">
        <f t="shared" si="3"/>
        <v>0</v>
      </c>
      <c r="K42" s="14">
        <f t="shared" si="4"/>
        <v>0</v>
      </c>
      <c r="L42" s="14">
        <f t="shared" si="5"/>
        <v>0</v>
      </c>
      <c r="M42" s="14">
        <f t="shared" si="6"/>
        <v>0</v>
      </c>
    </row>
    <row r="43" spans="1:15" x14ac:dyDescent="0.3">
      <c r="A43" s="47" t="s">
        <v>14</v>
      </c>
      <c r="B43" s="7">
        <f>D37</f>
        <v>15951.284051197501</v>
      </c>
      <c r="C43" s="1" t="s">
        <v>29</v>
      </c>
      <c r="D43" s="1">
        <v>7850</v>
      </c>
      <c r="F43" s="41"/>
      <c r="G43" s="62"/>
      <c r="H43" s="14"/>
      <c r="I43" s="44" t="s">
        <v>12</v>
      </c>
      <c r="J43" s="14"/>
    </row>
    <row r="44" spans="1:15" x14ac:dyDescent="0.3">
      <c r="A44" s="47" t="s">
        <v>22</v>
      </c>
      <c r="B44" s="14">
        <f>C27+D27+E27</f>
        <v>110442.8186582186</v>
      </c>
      <c r="C44" s="1" t="s">
        <v>30</v>
      </c>
      <c r="D44" s="1">
        <v>2000</v>
      </c>
      <c r="F44" s="41"/>
      <c r="G44" s="62"/>
      <c r="H44" s="14" t="s">
        <v>32</v>
      </c>
      <c r="I44" s="37">
        <f>SUM('Energy Schedule'!D7:D26)/4</f>
        <v>5</v>
      </c>
      <c r="J44" s="14">
        <f t="shared" si="3"/>
        <v>5000</v>
      </c>
      <c r="K44" s="14">
        <f>J44-(J44*$B$6)</f>
        <v>4828.5</v>
      </c>
      <c r="L44" s="14">
        <f t="shared" si="5"/>
        <v>4715.5131000000001</v>
      </c>
      <c r="M44" s="14">
        <f t="shared" si="6"/>
        <v>4623.5605945500001</v>
      </c>
    </row>
    <row r="45" spans="1:15" x14ac:dyDescent="0.3">
      <c r="A45" s="47" t="s">
        <v>158</v>
      </c>
      <c r="B45" s="16">
        <f>B44/B43</f>
        <v>6.9237572538824796</v>
      </c>
      <c r="C45" s="1" t="s">
        <v>31</v>
      </c>
      <c r="D45" s="1">
        <v>20100</v>
      </c>
      <c r="F45" s="41"/>
      <c r="G45" s="62"/>
      <c r="H45" s="14" t="s">
        <v>31</v>
      </c>
      <c r="I45" s="38">
        <f>SUM('Energy Schedule'!D27:D30)/4</f>
        <v>0.75</v>
      </c>
      <c r="J45" s="14">
        <f t="shared" si="3"/>
        <v>750</v>
      </c>
      <c r="K45" s="14">
        <f t="shared" si="4"/>
        <v>724.27499999999998</v>
      </c>
      <c r="L45" s="14">
        <f t="shared" si="5"/>
        <v>707.32696499999997</v>
      </c>
      <c r="M45" s="14">
        <f t="shared" si="6"/>
        <v>693.5340891825</v>
      </c>
    </row>
    <row r="46" spans="1:15" x14ac:dyDescent="0.3">
      <c r="A46" s="47" t="s">
        <v>18</v>
      </c>
      <c r="B46" s="7">
        <f>E37</f>
        <v>155363.7728234407</v>
      </c>
      <c r="C46" s="1" t="s">
        <v>32</v>
      </c>
      <c r="D46" s="1">
        <v>2950</v>
      </c>
      <c r="F46" s="41"/>
      <c r="G46" s="62"/>
      <c r="H46" s="14" t="s">
        <v>28</v>
      </c>
      <c r="I46" s="39">
        <f>SUM('Energy Schedule'!D31:D46)/4</f>
        <v>0</v>
      </c>
      <c r="J46" s="14">
        <f t="shared" si="3"/>
        <v>0</v>
      </c>
      <c r="K46" s="14">
        <f t="shared" si="4"/>
        <v>0</v>
      </c>
      <c r="L46" s="14">
        <f t="shared" si="5"/>
        <v>0</v>
      </c>
      <c r="M46" s="14">
        <f t="shared" si="6"/>
        <v>0</v>
      </c>
    </row>
    <row r="47" spans="1:15" x14ac:dyDescent="0.3">
      <c r="A47" s="47" t="s">
        <v>159</v>
      </c>
      <c r="B47" s="46">
        <f>B46/B43</f>
        <v>9.7398913043478252</v>
      </c>
      <c r="C47" s="42" t="s">
        <v>1</v>
      </c>
      <c r="D47" s="42">
        <f>SUM(D42:D46)</f>
        <v>33600</v>
      </c>
      <c r="E47" s="42"/>
      <c r="F47" s="43"/>
      <c r="G47" s="62"/>
      <c r="H47" s="14" t="s">
        <v>31</v>
      </c>
      <c r="I47" s="38">
        <f>SUM('Energy Schedule'!D47:D78)/4</f>
        <v>0</v>
      </c>
      <c r="J47" s="14">
        <f t="shared" si="3"/>
        <v>0</v>
      </c>
      <c r="K47" s="14">
        <f t="shared" si="4"/>
        <v>0</v>
      </c>
      <c r="L47" s="14">
        <f t="shared" si="5"/>
        <v>0</v>
      </c>
      <c r="M47" s="14">
        <f t="shared" si="6"/>
        <v>0</v>
      </c>
    </row>
    <row r="48" spans="1:15" x14ac:dyDescent="0.3">
      <c r="A48" s="47" t="s">
        <v>19</v>
      </c>
      <c r="B48" s="7">
        <f>B46-B44</f>
        <v>44920.954165222094</v>
      </c>
      <c r="G48" s="62"/>
      <c r="H48" s="14" t="s">
        <v>29</v>
      </c>
      <c r="I48" s="39">
        <f>SUM('Energy Schedule'!D79:D94)/4</f>
        <v>5.25</v>
      </c>
      <c r="J48" s="14">
        <f t="shared" si="3"/>
        <v>5250</v>
      </c>
      <c r="K48" s="14">
        <f t="shared" si="4"/>
        <v>5069.9250000000002</v>
      </c>
      <c r="L48" s="14">
        <f t="shared" si="5"/>
        <v>4951.2887550000005</v>
      </c>
      <c r="M48" s="14">
        <f t="shared" si="6"/>
        <v>4854.7386242775001</v>
      </c>
    </row>
    <row r="49" spans="1:13" x14ac:dyDescent="0.3">
      <c r="A49" s="47" t="s">
        <v>160</v>
      </c>
      <c r="B49" s="46">
        <f>B47-B45</f>
        <v>2.8161340504653456</v>
      </c>
      <c r="G49" s="62"/>
      <c r="H49" s="14" t="s">
        <v>32</v>
      </c>
      <c r="I49" s="37">
        <f>SUM('Energy Schedule'!D95:D102)/4</f>
        <v>1</v>
      </c>
      <c r="J49" s="14">
        <f t="shared" si="3"/>
        <v>1000</v>
      </c>
      <c r="K49" s="14">
        <f t="shared" si="4"/>
        <v>965.7</v>
      </c>
      <c r="L49" s="14">
        <f t="shared" si="5"/>
        <v>943.10262</v>
      </c>
      <c r="M49" s="14">
        <f t="shared" si="6"/>
        <v>924.71211890999996</v>
      </c>
    </row>
    <row r="50" spans="1:13" x14ac:dyDescent="0.3">
      <c r="G50" s="62"/>
      <c r="H50" s="14"/>
      <c r="I50" s="45" t="s">
        <v>16</v>
      </c>
      <c r="J50" s="14"/>
    </row>
    <row r="51" spans="1:13" x14ac:dyDescent="0.3">
      <c r="G51" s="62"/>
      <c r="H51" s="14" t="s">
        <v>32</v>
      </c>
      <c r="I51" s="37">
        <f>SUM('Energy Schedule'!E7:E26)/4</f>
        <v>0</v>
      </c>
      <c r="J51" s="14">
        <f t="shared" si="3"/>
        <v>0</v>
      </c>
      <c r="K51" s="14">
        <f t="shared" si="4"/>
        <v>0</v>
      </c>
      <c r="L51" s="14">
        <f t="shared" si="5"/>
        <v>0</v>
      </c>
      <c r="M51" s="14">
        <f t="shared" si="6"/>
        <v>0</v>
      </c>
    </row>
    <row r="52" spans="1:13" x14ac:dyDescent="0.3">
      <c r="G52" s="62"/>
      <c r="H52" s="14" t="s">
        <v>31</v>
      </c>
      <c r="I52" s="38">
        <f>SUM('Energy Schedule'!E27:E30)/4</f>
        <v>0</v>
      </c>
      <c r="J52" s="14">
        <f t="shared" si="3"/>
        <v>0</v>
      </c>
      <c r="K52" s="14">
        <f t="shared" si="4"/>
        <v>0</v>
      </c>
      <c r="L52" s="14">
        <f t="shared" si="5"/>
        <v>0</v>
      </c>
      <c r="M52" s="14">
        <f t="shared" si="6"/>
        <v>0</v>
      </c>
    </row>
    <row r="53" spans="1:13" s="9" customFormat="1" x14ac:dyDescent="0.3">
      <c r="G53" s="62"/>
      <c r="H53" s="14" t="s">
        <v>28</v>
      </c>
      <c r="I53" s="39">
        <f>SUM('Energy Schedule'!E31:E46)/4</f>
        <v>0</v>
      </c>
      <c r="J53" s="14">
        <f t="shared" si="3"/>
        <v>0</v>
      </c>
      <c r="K53" s="14">
        <f t="shared" si="4"/>
        <v>0</v>
      </c>
      <c r="L53" s="14">
        <f t="shared" si="5"/>
        <v>0</v>
      </c>
      <c r="M53" s="14">
        <f t="shared" si="6"/>
        <v>0</v>
      </c>
    </row>
    <row r="54" spans="1:13" s="9" customFormat="1" x14ac:dyDescent="0.3">
      <c r="G54" s="62"/>
      <c r="H54" s="14" t="s">
        <v>31</v>
      </c>
      <c r="I54" s="38">
        <f>SUM('Energy Schedule'!E47:E78)/4</f>
        <v>3</v>
      </c>
      <c r="J54" s="14">
        <f t="shared" si="3"/>
        <v>3000</v>
      </c>
      <c r="K54" s="14">
        <f t="shared" si="4"/>
        <v>2897.1</v>
      </c>
      <c r="L54" s="14">
        <f t="shared" si="5"/>
        <v>2829.3078599999999</v>
      </c>
      <c r="M54" s="14">
        <f t="shared" si="6"/>
        <v>2774.13635673</v>
      </c>
    </row>
    <row r="55" spans="1:13" s="8" customFormat="1" x14ac:dyDescent="0.3">
      <c r="G55" s="62"/>
      <c r="H55" s="14" t="s">
        <v>29</v>
      </c>
      <c r="I55" s="39">
        <f>SUM('Energy Schedule'!E79:E94)/4</f>
        <v>2.25</v>
      </c>
      <c r="J55" s="14">
        <f t="shared" si="3"/>
        <v>2250</v>
      </c>
      <c r="K55" s="14">
        <f t="shared" si="4"/>
        <v>2172.8249999999998</v>
      </c>
      <c r="L55" s="14">
        <f t="shared" si="5"/>
        <v>2121.9808949999997</v>
      </c>
      <c r="M55" s="14">
        <f t="shared" si="6"/>
        <v>2080.6022675474997</v>
      </c>
    </row>
    <row r="56" spans="1:13" s="8" customFormat="1" x14ac:dyDescent="0.3">
      <c r="G56" s="62"/>
      <c r="H56" s="14" t="s">
        <v>32</v>
      </c>
      <c r="I56" s="37">
        <f>SUM('Energy Schedule'!E95:E102)/4</f>
        <v>0</v>
      </c>
      <c r="J56" s="14">
        <f t="shared" si="3"/>
        <v>0</v>
      </c>
      <c r="K56" s="14">
        <f t="shared" si="4"/>
        <v>0</v>
      </c>
      <c r="L56" s="14">
        <f t="shared" si="5"/>
        <v>0</v>
      </c>
      <c r="M56" s="14">
        <f t="shared" si="6"/>
        <v>0</v>
      </c>
    </row>
    <row r="57" spans="1:13" s="8" customFormat="1" x14ac:dyDescent="0.3">
      <c r="G57" s="62"/>
      <c r="H57" s="62"/>
      <c r="J57" s="9"/>
      <c r="K57" s="9"/>
      <c r="L57" s="9"/>
    </row>
    <row r="58" spans="1:13" s="8" customFormat="1" x14ac:dyDescent="0.3">
      <c r="G58" s="62"/>
      <c r="H58" s="62"/>
    </row>
    <row r="59" spans="1:13" s="8" customFormat="1" x14ac:dyDescent="0.3">
      <c r="G59" s="62"/>
      <c r="H59" s="62"/>
    </row>
    <row r="60" spans="1:13" s="8" customFormat="1" x14ac:dyDescent="0.3">
      <c r="G60" s="62"/>
      <c r="H60" s="62"/>
    </row>
    <row r="61" spans="1:13" s="8" customFormat="1" x14ac:dyDescent="0.3">
      <c r="A61" s="9"/>
      <c r="B61" s="9"/>
      <c r="C61" s="9"/>
      <c r="D61" s="9"/>
      <c r="G61" s="62"/>
      <c r="H61" s="62"/>
    </row>
    <row r="62" spans="1:13" s="9" customFormat="1" x14ac:dyDescent="0.3">
      <c r="G62" s="62"/>
      <c r="H62" s="62"/>
    </row>
    <row r="63" spans="1:13" x14ac:dyDescent="0.3">
      <c r="G63" s="62"/>
      <c r="H63" s="62"/>
    </row>
    <row r="64" spans="1:13" x14ac:dyDescent="0.3">
      <c r="G64" s="62"/>
      <c r="H64" s="62"/>
    </row>
    <row r="65" spans="7:8" x14ac:dyDescent="0.3">
      <c r="G65" s="62"/>
      <c r="H65" s="62"/>
    </row>
    <row r="66" spans="7:8" x14ac:dyDescent="0.3">
      <c r="G66" s="62"/>
      <c r="H66" s="62"/>
    </row>
    <row r="67" spans="7:8" x14ac:dyDescent="0.3">
      <c r="G67" s="62"/>
      <c r="H67" s="62"/>
    </row>
    <row r="68" spans="7:8" x14ac:dyDescent="0.3">
      <c r="G68" s="62"/>
      <c r="H68" s="62"/>
    </row>
    <row r="69" spans="7:8" x14ac:dyDescent="0.3">
      <c r="G69" s="62"/>
      <c r="H69" s="62"/>
    </row>
    <row r="70" spans="7:8" x14ac:dyDescent="0.3">
      <c r="G70" s="62"/>
      <c r="H70" s="62"/>
    </row>
    <row r="71" spans="7:8" x14ac:dyDescent="0.3">
      <c r="G71" s="62"/>
      <c r="H71" s="62"/>
    </row>
    <row r="72" spans="7:8" x14ac:dyDescent="0.3">
      <c r="G72" s="62"/>
      <c r="H72" s="62"/>
    </row>
    <row r="73" spans="7:8" x14ac:dyDescent="0.3">
      <c r="G73" s="62"/>
      <c r="H73" s="62"/>
    </row>
    <row r="74" spans="7:8" x14ac:dyDescent="0.3">
      <c r="G74" s="62"/>
      <c r="H74" s="62"/>
    </row>
    <row r="75" spans="7:8" x14ac:dyDescent="0.3">
      <c r="G75" s="62"/>
      <c r="H75" s="62"/>
    </row>
    <row r="76" spans="7:8" x14ac:dyDescent="0.3">
      <c r="G76" s="62"/>
      <c r="H76" s="62"/>
    </row>
    <row r="77" spans="7:8" x14ac:dyDescent="0.3">
      <c r="G77" s="62"/>
      <c r="H77" s="62"/>
    </row>
    <row r="78" spans="7:8" x14ac:dyDescent="0.3">
      <c r="G78" s="62"/>
      <c r="H78" s="62"/>
    </row>
    <row r="79" spans="7:8" x14ac:dyDescent="0.3">
      <c r="G79" s="62"/>
      <c r="H79" s="62"/>
    </row>
    <row r="80" spans="7:8" x14ac:dyDescent="0.3">
      <c r="G80" s="62"/>
      <c r="H80" s="62"/>
    </row>
    <row r="81" spans="7:8" x14ac:dyDescent="0.3">
      <c r="G81" s="62"/>
      <c r="H81" s="62"/>
    </row>
    <row r="82" spans="7:8" x14ac:dyDescent="0.3">
      <c r="G82" s="62"/>
      <c r="H82" s="62"/>
    </row>
    <row r="83" spans="7:8" x14ac:dyDescent="0.3">
      <c r="G83" s="62"/>
      <c r="H83" s="62"/>
    </row>
    <row r="84" spans="7:8" x14ac:dyDescent="0.3">
      <c r="G84" s="62"/>
      <c r="H84" s="62"/>
    </row>
    <row r="85" spans="7:8" x14ac:dyDescent="0.3">
      <c r="G85" s="62"/>
      <c r="H85" s="62"/>
    </row>
    <row r="86" spans="7:8" x14ac:dyDescent="0.3">
      <c r="G86" s="62"/>
      <c r="H86" s="62"/>
    </row>
    <row r="87" spans="7:8" x14ac:dyDescent="0.3">
      <c r="G87" s="62"/>
      <c r="H87" s="62"/>
    </row>
    <row r="88" spans="7:8" x14ac:dyDescent="0.3">
      <c r="G88" s="62"/>
      <c r="H88" s="62"/>
    </row>
    <row r="89" spans="7:8" x14ac:dyDescent="0.3">
      <c r="G89" s="62"/>
      <c r="H89" s="62"/>
    </row>
    <row r="90" spans="7:8" x14ac:dyDescent="0.3">
      <c r="G90" s="62"/>
      <c r="H90" s="62"/>
    </row>
    <row r="91" spans="7:8" x14ac:dyDescent="0.3">
      <c r="G91" s="62"/>
      <c r="H91" s="62"/>
    </row>
    <row r="92" spans="7:8" x14ac:dyDescent="0.3">
      <c r="G92" s="62"/>
      <c r="H92" s="62"/>
    </row>
    <row r="93" spans="7:8" x14ac:dyDescent="0.3">
      <c r="G93" s="62"/>
      <c r="H93" s="62"/>
    </row>
    <row r="94" spans="7:8" x14ac:dyDescent="0.3">
      <c r="G94" s="62"/>
      <c r="H94" s="62"/>
    </row>
    <row r="95" spans="7:8" x14ac:dyDescent="0.3">
      <c r="G95" s="62"/>
      <c r="H95" s="62"/>
    </row>
    <row r="96" spans="7:8" x14ac:dyDescent="0.3">
      <c r="G96" s="62"/>
      <c r="H96" s="6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paperSize="9" orientation="portrait" horizontalDpi="2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3EAA-53A1-43CF-A617-A86C040653D2}">
  <dimension ref="A2:O222"/>
  <sheetViews>
    <sheetView topLeftCell="A5" zoomScale="80" zoomScaleNormal="80" workbookViewId="0">
      <selection activeCell="B6" sqref="B6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Schedule'!F103</f>
        <v>0</v>
      </c>
      <c r="D3" s="33">
        <f>'Energy Schedule'!G103</f>
        <v>12.5</v>
      </c>
      <c r="E3" s="34">
        <f>'Energy Schedule'!H103</f>
        <v>0</v>
      </c>
      <c r="G3" s="22"/>
      <c r="H3" s="22"/>
    </row>
    <row r="4" spans="1:11" ht="14.5" x14ac:dyDescent="0.3">
      <c r="A4" s="31" t="s">
        <v>10</v>
      </c>
      <c r="B4" s="32"/>
      <c r="C4" s="34">
        <f>'Energy Schedule'!F5</f>
        <v>0</v>
      </c>
      <c r="D4" s="34">
        <f>'Energy Schedule'!G$5</f>
        <v>46896.22</v>
      </c>
      <c r="E4" s="34">
        <f>'Energy Schedule'!H$5</f>
        <v>0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12500</v>
      </c>
      <c r="E5" s="48">
        <f t="shared" si="0"/>
        <v>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Schedule'!G3</f>
        <v>3.4299999999999997E-2</v>
      </c>
      <c r="C6" s="49">
        <f>C5-(C5*$B$6)</f>
        <v>0</v>
      </c>
      <c r="D6" s="49">
        <f>D5-(D5*$B$6)</f>
        <v>12071.25</v>
      </c>
      <c r="E6" s="49">
        <f>E5-(E5*$B$6)</f>
        <v>0</v>
      </c>
      <c r="G6" s="22"/>
      <c r="H6" s="62" t="s">
        <v>28</v>
      </c>
      <c r="I6" s="76">
        <f>D33</f>
        <v>0</v>
      </c>
      <c r="J6" s="1">
        <f>'Consumption Details'!$B4</f>
        <v>2050</v>
      </c>
      <c r="K6" s="14">
        <f>J6-I6</f>
        <v>2050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11788.78275</v>
      </c>
      <c r="E7" s="49">
        <f>E6-(E6*$B$7)</f>
        <v>0</v>
      </c>
      <c r="G7" s="22"/>
      <c r="H7" s="62" t="s">
        <v>29</v>
      </c>
      <c r="I7" s="76">
        <f t="shared" ref="I7:I9" si="1">D34</f>
        <v>5548.27271346</v>
      </c>
      <c r="J7" s="1">
        <f>'Consumption Details'!$C4</f>
        <v>10000</v>
      </c>
      <c r="K7" s="14">
        <f t="shared" ref="K7:K9" si="2">J7-I7</f>
        <v>4451.72728654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11558.901486375</v>
      </c>
      <c r="E8" s="49">
        <f>E7-(E7*$B$8)</f>
        <v>0</v>
      </c>
      <c r="G8" s="22"/>
      <c r="H8" s="62" t="s">
        <v>31</v>
      </c>
      <c r="I8" s="76">
        <f t="shared" si="1"/>
        <v>924.71211890999996</v>
      </c>
      <c r="J8" s="1">
        <f>'Consumption Details'!$D4</f>
        <v>19250</v>
      </c>
      <c r="K8" s="14">
        <f t="shared" si="2"/>
        <v>18325.28788109</v>
      </c>
    </row>
    <row r="9" spans="1:11" ht="14.5" x14ac:dyDescent="0.3">
      <c r="A9" s="40" t="s">
        <v>50</v>
      </c>
      <c r="B9" s="52">
        <f>'TNEB Charges'!B3</f>
        <v>0</v>
      </c>
      <c r="C9" s="49">
        <f>C8</f>
        <v>0</v>
      </c>
      <c r="D9" s="49">
        <f>D8</f>
        <v>11558.901486375</v>
      </c>
      <c r="E9" s="49">
        <f>E8</f>
        <v>0</v>
      </c>
      <c r="G9" s="22"/>
      <c r="H9" s="62" t="s">
        <v>32</v>
      </c>
      <c r="I9" s="76">
        <f t="shared" si="1"/>
        <v>5085.9166540050001</v>
      </c>
      <c r="J9" s="1">
        <f>'Consumption Details'!$E4</f>
        <v>3650</v>
      </c>
      <c r="K9" s="14">
        <f t="shared" si="2"/>
        <v>-1435.9166540050001</v>
      </c>
    </row>
    <row r="10" spans="1:11" ht="14.5" x14ac:dyDescent="0.3">
      <c r="A10" s="40" t="s">
        <v>51</v>
      </c>
      <c r="B10" s="52">
        <f>'TNEB Charges'!B4</f>
        <v>0</v>
      </c>
      <c r="C10" s="49" t="e">
        <f>C4/C9</f>
        <v>#DIV/0!</v>
      </c>
      <c r="D10" s="49">
        <f>D4/D9</f>
        <v>4.0571519754951364</v>
      </c>
      <c r="E10" s="49" t="e">
        <f>E4/E9</f>
        <v>#DIV/0!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295</v>
      </c>
      <c r="E11" s="49">
        <f>(E3*1000*$B$11)+(E3*1000*$B$11*18%)</f>
        <v>0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60">
        <f>'Energy Schedule'!F$6</f>
        <v>0</v>
      </c>
      <c r="D12" s="60">
        <f>'Energy Schedule'!G$6</f>
        <v>8.91</v>
      </c>
      <c r="E12" s="60">
        <f>'Energy Schedule'!H$6</f>
        <v>0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5720</v>
      </c>
      <c r="E13" s="49">
        <f>E3*$B$13</f>
        <v>0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12.5</v>
      </c>
      <c r="E14" s="49">
        <f>E3*$B$14</f>
        <v>0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3250</v>
      </c>
      <c r="E15" s="49">
        <f>E3*$B$15</f>
        <v>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17.572916666666668</v>
      </c>
      <c r="E17" s="49">
        <f>E3*$B$17/24</f>
        <v>0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250</v>
      </c>
      <c r="E18" s="49">
        <f>E3*$B$18*1000</f>
        <v>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23002.213957886248</v>
      </c>
      <c r="E19" s="49">
        <f>E9*$B$19</f>
        <v>0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12021.25754583</v>
      </c>
      <c r="E21" s="49">
        <f>E8*$B$21</f>
        <v>0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145.642158728325</v>
      </c>
      <c r="E23" s="49">
        <f>E9*$B$23*10.5%</f>
        <v>0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145.642158728325</v>
      </c>
      <c r="E24" s="55">
        <f>E9*$B$24*10.5%</f>
        <v>0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45038.738737839565</v>
      </c>
      <c r="E25" s="59">
        <f>SUM(E11:E24)</f>
        <v>0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3.8964549348334496</v>
      </c>
      <c r="E26" s="58" t="e">
        <f>E25/E9</f>
        <v>#DIV/0!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91934.958737839566</v>
      </c>
      <c r="E27" s="14">
        <f>E4+E25</f>
        <v>0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7.9536069103285865</v>
      </c>
      <c r="E28" s="16" t="e">
        <f>E27/E9</f>
        <v>#DIV/0!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0</v>
      </c>
      <c r="D33" s="23">
        <f>M39+M46+M53</f>
        <v>0</v>
      </c>
      <c r="E33" s="3">
        <f>D33*B33</f>
        <v>0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6000</v>
      </c>
      <c r="D34" s="13">
        <f>M41+M48+M55</f>
        <v>5548.27271346</v>
      </c>
      <c r="E34" s="3">
        <f>D34*B34</f>
        <v>61897.917459538126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1000</v>
      </c>
      <c r="D35" s="13">
        <f>M38+M40+M45+M47+M52+M54</f>
        <v>924.71211890999996</v>
      </c>
      <c r="E35" s="3">
        <f>D35*B35</f>
        <v>8253.0556612717501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5500</v>
      </c>
      <c r="D36" s="13">
        <f>M37+M42+M44+M49+M51+M56</f>
        <v>5085.9166540050001</v>
      </c>
      <c r="E36" s="3">
        <f>D36*B36</f>
        <v>43122.215830144894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C37" s="12">
        <f>SUM(C33:C36)</f>
        <v>12500</v>
      </c>
      <c r="D37" s="12">
        <f>SUM(D33:D36)</f>
        <v>11558.901486375</v>
      </c>
      <c r="E37" s="10">
        <f>SUM(E33:E36)</f>
        <v>113273.18895095478</v>
      </c>
      <c r="F37" s="23"/>
      <c r="G37" s="22"/>
      <c r="H37" s="14" t="s">
        <v>32</v>
      </c>
      <c r="I37" s="37">
        <f>SUM('Energy Schedule'!F7:F26)/4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Schedule'!F27:F30)/4</f>
        <v>0</v>
      </c>
      <c r="J38" s="14">
        <f t="shared" ref="J38:J55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Schedule'!F31:F46)/4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Schedule'!F47:F78)/4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9">
        <f>SUM('Energy Schedule'!F79:F94)/4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12500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Schedule'!F95:F102)/4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11558.901486375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91934.958737839566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Schedule'!G7:G26)/4</f>
        <v>5</v>
      </c>
      <c r="J44" s="14">
        <f t="shared" si="4"/>
        <v>5000</v>
      </c>
      <c r="K44" s="14">
        <f>J44-(J44*$B$6)</f>
        <v>4828.5</v>
      </c>
      <c r="L44" s="14">
        <f t="shared" si="6"/>
        <v>4715.5131000000001</v>
      </c>
      <c r="M44" s="14">
        <f t="shared" si="7"/>
        <v>4623.5605945500001</v>
      </c>
    </row>
    <row r="45" spans="1:15" ht="14.5" x14ac:dyDescent="0.3">
      <c r="A45" s="47" t="s">
        <v>158</v>
      </c>
      <c r="B45" s="16">
        <f>B44/B43</f>
        <v>7.9536069103285865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Schedule'!G27:G30)/4</f>
        <v>1</v>
      </c>
      <c r="J45" s="14">
        <f t="shared" si="4"/>
        <v>1000</v>
      </c>
      <c r="K45" s="14">
        <f t="shared" si="5"/>
        <v>965.7</v>
      </c>
      <c r="L45" s="14">
        <f t="shared" si="6"/>
        <v>943.10262</v>
      </c>
      <c r="M45" s="14">
        <f t="shared" si="7"/>
        <v>924.71211890999996</v>
      </c>
    </row>
    <row r="46" spans="1:15" ht="14.5" x14ac:dyDescent="0.3">
      <c r="A46" s="47" t="s">
        <v>18</v>
      </c>
      <c r="B46" s="13">
        <f>E37</f>
        <v>113273.18895095478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Schedule'!G31:G46)/4</f>
        <v>0</v>
      </c>
      <c r="J46" s="14">
        <f t="shared" si="4"/>
        <v>0</v>
      </c>
      <c r="K46" s="14">
        <f t="shared" si="5"/>
        <v>0</v>
      </c>
      <c r="L46" s="14">
        <f t="shared" si="6"/>
        <v>0</v>
      </c>
      <c r="M46" s="14">
        <f t="shared" si="7"/>
        <v>0</v>
      </c>
    </row>
    <row r="47" spans="1:15" ht="14.5" x14ac:dyDescent="0.3">
      <c r="A47" s="47" t="s">
        <v>159</v>
      </c>
      <c r="B47" s="61">
        <f>B46/B43</f>
        <v>9.7996500000000015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Schedule'!G47:G78)/4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21338.23021311521</v>
      </c>
      <c r="G48" s="22"/>
      <c r="H48" s="14" t="s">
        <v>29</v>
      </c>
      <c r="I48" s="39">
        <f>SUM('Energy Schedule'!G79:G94)/4</f>
        <v>6</v>
      </c>
      <c r="J48" s="14">
        <f t="shared" si="4"/>
        <v>6000</v>
      </c>
      <c r="K48" s="14">
        <f t="shared" si="5"/>
        <v>5794.2</v>
      </c>
      <c r="L48" s="14">
        <f t="shared" si="6"/>
        <v>5658.6157199999998</v>
      </c>
      <c r="M48" s="14">
        <f t="shared" si="7"/>
        <v>5548.27271346</v>
      </c>
    </row>
    <row r="49" spans="1:13" ht="14.5" x14ac:dyDescent="0.3">
      <c r="A49" s="47" t="s">
        <v>160</v>
      </c>
      <c r="B49" s="46">
        <f>B47-B45</f>
        <v>1.8460430896714151</v>
      </c>
      <c r="G49" s="22"/>
      <c r="H49" s="14" t="s">
        <v>32</v>
      </c>
      <c r="I49" s="37">
        <f>SUM('Energy Schedule'!G95:G102)/4</f>
        <v>0.5</v>
      </c>
      <c r="J49" s="14">
        <f t="shared" si="4"/>
        <v>500</v>
      </c>
      <c r="K49" s="14">
        <f t="shared" si="5"/>
        <v>482.85</v>
      </c>
      <c r="L49" s="14">
        <f t="shared" si="6"/>
        <v>471.55131</v>
      </c>
      <c r="M49" s="14">
        <f t="shared" si="7"/>
        <v>462.35605945499998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Schedule'!H7:H26)/4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Schedule'!H27:H30)/4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Schedule'!H31:H46)/4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Schedule'!H47:H78)/4</f>
        <v>0</v>
      </c>
      <c r="J54" s="14">
        <f t="shared" si="4"/>
        <v>0</v>
      </c>
      <c r="K54" s="14">
        <f t="shared" si="5"/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Schedule'!H79:H94)/4</f>
        <v>0</v>
      </c>
      <c r="J55" s="14">
        <f t="shared" si="4"/>
        <v>0</v>
      </c>
      <c r="K55" s="14">
        <f t="shared" si="5"/>
        <v>0</v>
      </c>
      <c r="L55" s="14">
        <f t="shared" si="6"/>
        <v>0</v>
      </c>
      <c r="M55" s="14">
        <f t="shared" si="7"/>
        <v>0</v>
      </c>
    </row>
    <row r="56" spans="1:13" s="8" customFormat="1" ht="14.5" x14ac:dyDescent="0.3">
      <c r="G56" s="22"/>
      <c r="H56" s="14" t="s">
        <v>32</v>
      </c>
      <c r="I56" s="37">
        <f>SUM('Energy Schedule'!H95:H102)/4</f>
        <v>0</v>
      </c>
      <c r="J56" s="14">
        <f>I56*1000</f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paperSize="9" orientation="portrait" horizontalDpi="200" verticalDpi="0" r:id="rId1"/>
  <ignoredErrors>
    <ignoredError sqref="I37:I42 I44:I49 I51:I5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084E-51CD-4EB9-AFC6-681510EC65D4}">
  <dimension ref="A2:O222"/>
  <sheetViews>
    <sheetView zoomScale="80" zoomScaleNormal="80" workbookViewId="0">
      <selection activeCell="B7" sqref="B7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Schedule'!I$103</f>
        <v>0</v>
      </c>
      <c r="D3" s="33">
        <f>'Energy Schedule'!J$103</f>
        <v>9.25</v>
      </c>
      <c r="E3" s="34">
        <f>'Energy Schedule'!K$103</f>
        <v>3.6274999999999999</v>
      </c>
      <c r="G3" s="22"/>
      <c r="H3" s="22"/>
    </row>
    <row r="4" spans="1:11" ht="14.5" x14ac:dyDescent="0.3">
      <c r="A4" s="31" t="s">
        <v>10</v>
      </c>
      <c r="B4" s="32"/>
      <c r="C4" s="34">
        <f>'Energy Schedule'!I$5</f>
        <v>0</v>
      </c>
      <c r="D4" s="34">
        <f>'Energy Schedule'!J$5</f>
        <v>38325.914499999999</v>
      </c>
      <c r="E4" s="34">
        <f>'Energy Schedule'!K$5</f>
        <v>14307.76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9250</v>
      </c>
      <c r="E5" s="48">
        <f t="shared" si="0"/>
        <v>3627.5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Schedule'!J3</f>
        <v>3.4299999999999997E-2</v>
      </c>
      <c r="C6" s="49">
        <f>C5-(C5*$B$6)</f>
        <v>0</v>
      </c>
      <c r="D6" s="49">
        <f>D5-(D5*$B$6)</f>
        <v>8932.7250000000004</v>
      </c>
      <c r="E6" s="49">
        <f>E5-(E5*$B$6)</f>
        <v>3503.0767500000002</v>
      </c>
      <c r="G6" s="22"/>
      <c r="H6" s="62" t="s">
        <v>28</v>
      </c>
      <c r="I6" s="76">
        <f>D33</f>
        <v>462.35605945499998</v>
      </c>
      <c r="J6" s="1">
        <f>'Consumption Details'!$B5</f>
        <v>1800</v>
      </c>
      <c r="K6" s="14">
        <f>J6-I6</f>
        <v>1337.6439405450001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8723.699235</v>
      </c>
      <c r="E7" s="49">
        <f>E6-(E6*$B$7)</f>
        <v>3421.1047540500003</v>
      </c>
      <c r="G7" s="22"/>
      <c r="H7" s="62" t="s">
        <v>29</v>
      </c>
      <c r="I7" s="76">
        <f t="shared" ref="I7:I9" si="1">D34</f>
        <v>7053.2416869860244</v>
      </c>
      <c r="J7" s="1">
        <f>'Consumption Details'!$C5</f>
        <v>10650</v>
      </c>
      <c r="K7" s="14">
        <f t="shared" ref="K7:K9" si="2">J7-I7</f>
        <v>3596.7583130139756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8553.5870999175004</v>
      </c>
      <c r="E8" s="49">
        <f>E7-(E7*$B$8)</f>
        <v>3354.3932113460255</v>
      </c>
      <c r="G8" s="22"/>
      <c r="H8" s="62" t="s">
        <v>31</v>
      </c>
      <c r="I8" s="76">
        <f t="shared" si="1"/>
        <v>2080.6022675475001</v>
      </c>
      <c r="J8" s="1">
        <f>'Consumption Details'!$D5</f>
        <v>20350</v>
      </c>
      <c r="K8" s="14">
        <f t="shared" si="2"/>
        <v>18269.3977324525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8553.5870999175004</v>
      </c>
      <c r="E9" s="49">
        <f>E8</f>
        <v>3354.3932113460255</v>
      </c>
      <c r="G9" s="22"/>
      <c r="H9" s="62" t="s">
        <v>32</v>
      </c>
      <c r="I9" s="76">
        <f t="shared" si="1"/>
        <v>2311.7802972750001</v>
      </c>
      <c r="J9" s="1">
        <f>'Consumption Details'!$E5</f>
        <v>3800</v>
      </c>
      <c r="K9" s="14">
        <f t="shared" si="2"/>
        <v>1488.2197027249999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4.4806832563112211</v>
      </c>
      <c r="E10" s="49">
        <f>E4/E9</f>
        <v>4.2653794884883789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218.3</v>
      </c>
      <c r="E11" s="49">
        <f>(E3*1000*$B$11)+(E3*1000*$B$11*18%)</f>
        <v>85.608999999999995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60">
        <f>'Energy Schedule'!I$6</f>
        <v>0</v>
      </c>
      <c r="D12" s="60">
        <f>'Energy Schedule'!J$6</f>
        <v>8.99</v>
      </c>
      <c r="E12" s="60">
        <f>'Energy Schedule'!K$6</f>
        <v>13.19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4232.8</v>
      </c>
      <c r="E13" s="49">
        <f>E3*$B$13</f>
        <v>1659.944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9.25</v>
      </c>
      <c r="E14" s="49">
        <f>E3*$B$14</f>
        <v>3.6274999999999999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2405</v>
      </c>
      <c r="E15" s="49">
        <f>E3*$B$15</f>
        <v>943.15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13.003958333333335</v>
      </c>
      <c r="E17" s="49">
        <f>E3*$B$17/24</f>
        <v>5.0996604166666666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185</v>
      </c>
      <c r="E18" s="49">
        <f>E3*$B$18*1000</f>
        <v>72.55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17021.638328835827</v>
      </c>
      <c r="E19" s="49">
        <f>E9*$B$19</f>
        <v>6675.2424905785911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8895.7305839142009</v>
      </c>
      <c r="E21" s="49">
        <f>E8*$B$21</f>
        <v>3488.5689397998667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107.77519745896049</v>
      </c>
      <c r="E23" s="49">
        <f>E9*$B$23*10.5%</f>
        <v>42.26535446295992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107.77519745896049</v>
      </c>
      <c r="E24" s="55">
        <f>E9*$B$24*10.5%</f>
        <v>42.26535446295992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33375.26326600129</v>
      </c>
      <c r="E25" s="59">
        <f>SUM(E11:E24)</f>
        <v>13201.512299721044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3.9019025440593449</v>
      </c>
      <c r="E26" s="58">
        <f>E25/E9</f>
        <v>3.9355887840065242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71701.177766001289</v>
      </c>
      <c r="E27" s="14">
        <f>E4+E25</f>
        <v>27509.272299721044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8.3825858003705669</v>
      </c>
      <c r="E28" s="16">
        <f>E27/E9</f>
        <v>8.2009682724949027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500</v>
      </c>
      <c r="D33" s="23">
        <f>M39+M46+M53</f>
        <v>462.35605945499998</v>
      </c>
      <c r="E33" s="3">
        <f>D33*B33</f>
        <v>5158.1597882948436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7627.5</v>
      </c>
      <c r="D34" s="13">
        <f>M41+M48+M55</f>
        <v>7053.2416869860244</v>
      </c>
      <c r="E34" s="3">
        <f>D34*B34</f>
        <v>78687.727570437841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2250</v>
      </c>
      <c r="D35" s="13">
        <f>M38+M40+M45+M47+M52+M54</f>
        <v>2080.6022675475001</v>
      </c>
      <c r="E35" s="3">
        <f>D35*B35</f>
        <v>18569.375237861441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2500</v>
      </c>
      <c r="D36" s="13">
        <f>M37+M42+M44+M49+M51+M56</f>
        <v>2311.7802972750001</v>
      </c>
      <c r="E36" s="13">
        <f>D36*B36</f>
        <v>19601.007195520408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C37" s="12">
        <f>SUM(C33:C36)</f>
        <v>12877.5</v>
      </c>
      <c r="D37" s="12">
        <f>SUM(D33:D36)</f>
        <v>11907.980311263524</v>
      </c>
      <c r="E37" s="10">
        <f>SUM(E33:E36)</f>
        <v>122016.26979211453</v>
      </c>
      <c r="F37" s="23"/>
      <c r="G37" s="22"/>
      <c r="H37" s="14" t="s">
        <v>32</v>
      </c>
      <c r="I37" s="37">
        <f>SUM('Energy Schedule'!I7:I26)/4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Schedule'!I27:I30)/4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Schedule'!I31:I46)/4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Schedule'!I47:I78)/4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9">
        <f>SUM('Energy Schedule'!I79:I94)/4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12877.5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Schedule'!I95:I102)/4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11907.980311263524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99210.45006572234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Schedule'!J7:J26)/4</f>
        <v>2.375</v>
      </c>
      <c r="J44" s="14">
        <f t="shared" si="4"/>
        <v>2375</v>
      </c>
      <c r="K44" s="14">
        <f>J44-(J44*$B$6)</f>
        <v>2293.5374999999999</v>
      </c>
      <c r="L44" s="14">
        <f t="shared" si="6"/>
        <v>2239.8687224999999</v>
      </c>
      <c r="M44" s="14">
        <f t="shared" si="7"/>
        <v>2196.1912824112501</v>
      </c>
    </row>
    <row r="45" spans="1:15" ht="14.5" x14ac:dyDescent="0.3">
      <c r="A45" s="47" t="s">
        <v>158</v>
      </c>
      <c r="B45" s="16">
        <f>B44/B43</f>
        <v>8.3314254367620286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Schedule'!J27:J30)/4</f>
        <v>0.25</v>
      </c>
      <c r="J45" s="14">
        <f t="shared" si="4"/>
        <v>250</v>
      </c>
      <c r="K45" s="14">
        <f t="shared" si="5"/>
        <v>241.42500000000001</v>
      </c>
      <c r="L45" s="14">
        <f t="shared" si="6"/>
        <v>235.775655</v>
      </c>
      <c r="M45" s="14">
        <f t="shared" si="7"/>
        <v>231.17802972749999</v>
      </c>
    </row>
    <row r="46" spans="1:15" ht="14.5" x14ac:dyDescent="0.3">
      <c r="A46" s="47" t="s">
        <v>18</v>
      </c>
      <c r="B46" s="7">
        <f>E37</f>
        <v>122016.26979211453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Schedule'!J31:J46)/4</f>
        <v>0</v>
      </c>
      <c r="J46" s="14">
        <f t="shared" si="4"/>
        <v>0</v>
      </c>
      <c r="K46" s="14">
        <f t="shared" si="5"/>
        <v>0</v>
      </c>
      <c r="L46" s="14">
        <f t="shared" si="6"/>
        <v>0</v>
      </c>
      <c r="M46" s="14">
        <f t="shared" si="7"/>
        <v>0</v>
      </c>
    </row>
    <row r="47" spans="1:15" ht="14.5" x14ac:dyDescent="0.3">
      <c r="A47" s="47" t="s">
        <v>159</v>
      </c>
      <c r="B47" s="46">
        <f>B46/B43</f>
        <v>10.246596534653467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Schedule'!J47:J78)/4</f>
        <v>2</v>
      </c>
      <c r="J47" s="14">
        <f t="shared" si="4"/>
        <v>2000</v>
      </c>
      <c r="K47" s="14">
        <f t="shared" si="5"/>
        <v>1931.4</v>
      </c>
      <c r="L47" s="14">
        <f t="shared" si="6"/>
        <v>1886.20524</v>
      </c>
      <c r="M47" s="14">
        <f t="shared" si="7"/>
        <v>1849.4242378199999</v>
      </c>
    </row>
    <row r="48" spans="1:15" ht="14.5" x14ac:dyDescent="0.3">
      <c r="A48" s="47" t="s">
        <v>19</v>
      </c>
      <c r="B48" s="7">
        <f>B46-B44</f>
        <v>22805.81972639219</v>
      </c>
      <c r="G48" s="22"/>
      <c r="H48" s="14" t="s">
        <v>29</v>
      </c>
      <c r="I48" s="39">
        <f>SUM('Energy Schedule'!J79:J94)/4</f>
        <v>4.5</v>
      </c>
      <c r="J48" s="14">
        <f t="shared" si="4"/>
        <v>4500</v>
      </c>
      <c r="K48" s="14">
        <f t="shared" si="5"/>
        <v>4345.6499999999996</v>
      </c>
      <c r="L48" s="14">
        <f t="shared" si="6"/>
        <v>4243.9617899999994</v>
      </c>
      <c r="M48" s="14">
        <f t="shared" si="7"/>
        <v>4161.2045350949993</v>
      </c>
    </row>
    <row r="49" spans="1:13" ht="14.5" x14ac:dyDescent="0.3">
      <c r="A49" s="47" t="s">
        <v>160</v>
      </c>
      <c r="B49" s="46">
        <f>B47-B45</f>
        <v>1.915171097891438</v>
      </c>
      <c r="G49" s="22"/>
      <c r="H49" s="14" t="s">
        <v>32</v>
      </c>
      <c r="I49" s="37">
        <f>SUM('Energy Schedule'!J95:J102)/4</f>
        <v>0.125</v>
      </c>
      <c r="J49" s="14">
        <f t="shared" si="4"/>
        <v>125</v>
      </c>
      <c r="K49" s="14">
        <f t="shared" si="5"/>
        <v>120.71250000000001</v>
      </c>
      <c r="L49" s="14">
        <f t="shared" si="6"/>
        <v>117.8878275</v>
      </c>
      <c r="M49" s="14">
        <f t="shared" si="7"/>
        <v>115.58901486374999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Schedule'!K7:K26)/4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Schedule'!K27:K30)/4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Schedule'!K31:K46)/4</f>
        <v>0.5</v>
      </c>
      <c r="J53" s="14">
        <f t="shared" si="4"/>
        <v>500</v>
      </c>
      <c r="K53" s="14">
        <f t="shared" si="5"/>
        <v>482.85</v>
      </c>
      <c r="L53" s="14">
        <f t="shared" si="6"/>
        <v>471.55131</v>
      </c>
      <c r="M53" s="14">
        <f t="shared" si="7"/>
        <v>462.35605945499998</v>
      </c>
    </row>
    <row r="54" spans="1:13" s="9" customFormat="1" ht="14.5" x14ac:dyDescent="0.3">
      <c r="G54" s="22"/>
      <c r="H54" s="14" t="s">
        <v>31</v>
      </c>
      <c r="I54" s="38">
        <f>SUM('Energy Schedule'!K47:K78)/4</f>
        <v>0</v>
      </c>
      <c r="J54" s="14">
        <f t="shared" si="4"/>
        <v>0</v>
      </c>
      <c r="K54" s="14">
        <f t="shared" si="5"/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Schedule'!K79:K94)/4</f>
        <v>3.1274999999999999</v>
      </c>
      <c r="J55" s="14">
        <f t="shared" si="4"/>
        <v>3127.5</v>
      </c>
      <c r="K55" s="14">
        <f t="shared" si="5"/>
        <v>3020.2267499999998</v>
      </c>
      <c r="L55" s="14">
        <f t="shared" si="6"/>
        <v>2949.5534440499996</v>
      </c>
      <c r="M55" s="14">
        <f t="shared" si="7"/>
        <v>2892.0371518910247</v>
      </c>
    </row>
    <row r="56" spans="1:13" s="8" customFormat="1" ht="14.5" x14ac:dyDescent="0.3">
      <c r="G56" s="22"/>
      <c r="H56" s="14" t="s">
        <v>32</v>
      </c>
      <c r="I56" s="37">
        <f>SUM('Energy Schedule'!K95:K102)/4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ignoredErrors>
    <ignoredError sqref="I37 I44 I51:I56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71BA-BD66-4378-9CD2-00DA8FFE99C6}">
  <dimension ref="A2:O222"/>
  <sheetViews>
    <sheetView zoomScale="80" zoomScaleNormal="80" workbookViewId="0">
      <selection activeCell="B7" sqref="B7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Schedule'!L$103</f>
        <v>0</v>
      </c>
      <c r="D3" s="33">
        <f>'Energy Schedule'!M$103</f>
        <v>20.375</v>
      </c>
      <c r="E3" s="34">
        <f>'Energy Schedule'!N$103</f>
        <v>3</v>
      </c>
      <c r="G3" s="22"/>
      <c r="H3" s="22"/>
    </row>
    <row r="4" spans="1:11" ht="14.5" x14ac:dyDescent="0.3">
      <c r="A4" s="31" t="s">
        <v>10</v>
      </c>
      <c r="B4" s="32"/>
      <c r="C4" s="34">
        <f>'Energy Schedule'!L$5</f>
        <v>0</v>
      </c>
      <c r="D4" s="34">
        <f>'Energy Schedule'!M$5</f>
        <v>83092.959700000007</v>
      </c>
      <c r="E4" s="34">
        <f>'Energy Schedule'!N$5</f>
        <v>12749.83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20375</v>
      </c>
      <c r="E5" s="48">
        <f t="shared" si="0"/>
        <v>3000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Schedule'!M3</f>
        <v>3.4299999999999997E-2</v>
      </c>
      <c r="C6" s="49">
        <f>C5-(C5*$B$6)</f>
        <v>0</v>
      </c>
      <c r="D6" s="49">
        <f>D5-(D5*$B$6)</f>
        <v>19676.137500000001</v>
      </c>
      <c r="E6" s="49">
        <f>E5-(E5*$B$6)</f>
        <v>2897.1</v>
      </c>
      <c r="G6" s="22"/>
      <c r="H6" s="62" t="s">
        <v>28</v>
      </c>
      <c r="I6" s="76">
        <f>D33</f>
        <v>346.76704459125</v>
      </c>
      <c r="J6" s="1">
        <f>'Consumption Details'!$B6</f>
        <v>2050</v>
      </c>
      <c r="K6" s="14">
        <f>J6-I6</f>
        <v>1703.2329554087501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19215.715882500001</v>
      </c>
      <c r="E7" s="49">
        <f>E6-(E6*$B$7)</f>
        <v>2829.3078599999999</v>
      </c>
      <c r="G7" s="22"/>
      <c r="H7" s="62" t="s">
        <v>29</v>
      </c>
      <c r="I7" s="76">
        <f t="shared" ref="I7:I9" si="1">D34</f>
        <v>11096.545426919998</v>
      </c>
      <c r="J7" s="1">
        <f>'Consumption Details'!$C6</f>
        <v>10600</v>
      </c>
      <c r="K7" s="14">
        <f t="shared" ref="K7:K9" si="2">J7-I7</f>
        <v>-496.54542691999814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18841.009422791252</v>
      </c>
      <c r="E8" s="49">
        <f>E7-(E7*$B$8)</f>
        <v>2774.13635673</v>
      </c>
      <c r="G8" s="22"/>
      <c r="H8" s="62" t="s">
        <v>31</v>
      </c>
      <c r="I8" s="76">
        <f t="shared" si="1"/>
        <v>7397.6969512799997</v>
      </c>
      <c r="J8" s="1">
        <f>'Consumption Details'!$D6</f>
        <v>21850</v>
      </c>
      <c r="K8" s="14">
        <f t="shared" si="2"/>
        <v>14452.303048720001</v>
      </c>
    </row>
    <row r="9" spans="1:11" ht="14.5" x14ac:dyDescent="0.3">
      <c r="A9" s="40" t="s">
        <v>50</v>
      </c>
      <c r="B9" s="52">
        <f>'TNEB Charges'!B3</f>
        <v>0</v>
      </c>
      <c r="C9" s="49">
        <f>C8</f>
        <v>0</v>
      </c>
      <c r="D9" s="49">
        <f>D8</f>
        <v>18841.009422791252</v>
      </c>
      <c r="E9" s="49">
        <f>E8</f>
        <v>2774.13635673</v>
      </c>
      <c r="G9" s="22"/>
      <c r="H9" s="62" t="s">
        <v>32</v>
      </c>
      <c r="I9" s="76">
        <f t="shared" si="1"/>
        <v>2774.13635673</v>
      </c>
      <c r="J9" s="1">
        <f>'Consumption Details'!$E6</f>
        <v>3750</v>
      </c>
      <c r="K9" s="14">
        <f t="shared" si="2"/>
        <v>975.86364327000001</v>
      </c>
    </row>
    <row r="10" spans="1:11" ht="14.5" x14ac:dyDescent="0.3">
      <c r="A10" s="40" t="s">
        <v>51</v>
      </c>
      <c r="B10" s="52">
        <f>'TNEB Charges'!B4</f>
        <v>0</v>
      </c>
      <c r="C10" s="49" t="e">
        <f>C4/C9</f>
        <v>#DIV/0!</v>
      </c>
      <c r="D10" s="49">
        <f>D4/D9</f>
        <v>4.4102180427491113</v>
      </c>
      <c r="E10" s="49">
        <f>E4/E9</f>
        <v>4.5959637020253759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480.85</v>
      </c>
      <c r="E11" s="49">
        <f>(E3*1000*$B$11)+(E3*1000*$B$11*18%)</f>
        <v>70.8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60">
        <f>'Energy Schedule'!L$6</f>
        <v>0</v>
      </c>
      <c r="D12" s="60">
        <f>'Energy Schedule'!M$6</f>
        <v>7.67</v>
      </c>
      <c r="E12" s="60">
        <f>'Energy Schedule'!N$6</f>
        <v>14.29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9323.6</v>
      </c>
      <c r="E13" s="49">
        <f>E3*$B$13</f>
        <v>1372.8000000000002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20.375</v>
      </c>
      <c r="E14" s="49">
        <f>E3*$B$14</f>
        <v>3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5297.5</v>
      </c>
      <c r="E15" s="49">
        <f>E3*$B$15</f>
        <v>780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28.643854166666667</v>
      </c>
      <c r="E17" s="49">
        <f>E3*$B$17/24</f>
        <v>4.2175000000000002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407.50000000000006</v>
      </c>
      <c r="E18" s="49">
        <f>E3*$B$18*1000</f>
        <v>60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37493.608751354594</v>
      </c>
      <c r="E19" s="49">
        <f>E9*$B$19</f>
        <v>5520.5313498926998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19594.649799702904</v>
      </c>
      <c r="E21" s="49">
        <f>E8*$B$21</f>
        <v>2885.1018109992001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237.39671872716974</v>
      </c>
      <c r="E23" s="49">
        <f>E9*$B$23*10.5%</f>
        <v>34.954118094797998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237.39671872716974</v>
      </c>
      <c r="E24" s="55">
        <f>E9*$B$24*10.5%</f>
        <v>34.954118094797998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73299.190842678494</v>
      </c>
      <c r="E25" s="59">
        <f>SUM(E11:E24)</f>
        <v>10950.648897081497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3.890406782240194</v>
      </c>
      <c r="E26" s="58">
        <f>E25/E9</f>
        <v>3.9474083061978691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156392.15054267849</v>
      </c>
      <c r="E27" s="14">
        <f>E4+E25</f>
        <v>23700.478897081499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8.3006248249893044</v>
      </c>
      <c r="E28" s="16">
        <f>E27/E9</f>
        <v>8.5433720082232458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375</v>
      </c>
      <c r="D33" s="23">
        <f>M39+M46+M53</f>
        <v>346.76704459125</v>
      </c>
      <c r="E33" s="3">
        <f>D33*B33</f>
        <v>3868.6198412211329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12000</v>
      </c>
      <c r="D34" s="13">
        <f>M41+M48+M55</f>
        <v>11096.545426919998</v>
      </c>
      <c r="E34" s="3">
        <f>D34*B34</f>
        <v>123795.83491907622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8000</v>
      </c>
      <c r="D35" s="13">
        <f>M38+M40+M45+M47+M52+M54</f>
        <v>7397.6969512799997</v>
      </c>
      <c r="E35" s="3">
        <f>D35*B35</f>
        <v>66024.445290174001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3000</v>
      </c>
      <c r="D36" s="13">
        <f>M37+M42+M44+M49+M51+M56</f>
        <v>2774.13635673</v>
      </c>
      <c r="E36" s="13">
        <f>D36*B36</f>
        <v>23521.208634624487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23375</v>
      </c>
      <c r="D37" s="12">
        <f>SUM(D33:D36)</f>
        <v>21615.145779521248</v>
      </c>
      <c r="E37" s="10">
        <f>SUM(E33:E36)</f>
        <v>217210.10868509585</v>
      </c>
      <c r="F37" s="23"/>
      <c r="G37" s="22"/>
      <c r="H37" s="14" t="s">
        <v>32</v>
      </c>
      <c r="I37" s="37">
        <f>SUM('Energy Schedule'!L7:L26)/4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Schedule'!L27:L30)/4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Schedule'!L31:L46)/4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Schedule'!L47:L78)/4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9">
        <f>SUM('Energy Schedule'!L79:L94)/4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23375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Schedule'!L95:L102)/4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21615.145779521248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180092.62943976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Schedule'!M7:M26)/4</f>
        <v>2.5</v>
      </c>
      <c r="J44" s="14">
        <f t="shared" si="4"/>
        <v>2500</v>
      </c>
      <c r="K44" s="14">
        <f>J44-(J44*$B$6)</f>
        <v>2414.25</v>
      </c>
      <c r="L44" s="14">
        <f t="shared" si="6"/>
        <v>2357.7565500000001</v>
      </c>
      <c r="M44" s="14">
        <f t="shared" si="7"/>
        <v>2311.7802972750001</v>
      </c>
    </row>
    <row r="45" spans="1:15" ht="14.5" x14ac:dyDescent="0.3">
      <c r="A45" s="47" t="s">
        <v>158</v>
      </c>
      <c r="B45" s="16">
        <f>B44/B43</f>
        <v>8.3317795436931288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Schedule'!M27:M30)/4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217210.10868509585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Schedule'!M31:M46)/4</f>
        <v>0.375</v>
      </c>
      <c r="J46" s="14">
        <f t="shared" si="4"/>
        <v>375</v>
      </c>
      <c r="K46" s="14">
        <f t="shared" si="5"/>
        <v>362.13749999999999</v>
      </c>
      <c r="L46" s="14">
        <f t="shared" si="6"/>
        <v>353.66348249999999</v>
      </c>
      <c r="M46" s="14">
        <f t="shared" si="7"/>
        <v>346.76704459125</v>
      </c>
    </row>
    <row r="47" spans="1:15" ht="14.5" x14ac:dyDescent="0.3">
      <c r="A47" s="47" t="s">
        <v>159</v>
      </c>
      <c r="B47" s="46">
        <f>B46/B43</f>
        <v>10.048977272727273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Schedule'!M47:M78)/4</f>
        <v>7.5</v>
      </c>
      <c r="J47" s="14">
        <f t="shared" si="4"/>
        <v>7500</v>
      </c>
      <c r="K47" s="14">
        <f t="shared" si="5"/>
        <v>7242.75</v>
      </c>
      <c r="L47" s="14">
        <f t="shared" si="6"/>
        <v>7073.2696500000002</v>
      </c>
      <c r="M47" s="14">
        <f t="shared" si="7"/>
        <v>6935.3408918249997</v>
      </c>
    </row>
    <row r="48" spans="1:15" ht="14.5" x14ac:dyDescent="0.3">
      <c r="A48" s="47" t="s">
        <v>19</v>
      </c>
      <c r="B48" s="7">
        <f>B46-B44</f>
        <v>37117.479245335853</v>
      </c>
      <c r="G48" s="22"/>
      <c r="H48" s="14" t="s">
        <v>29</v>
      </c>
      <c r="I48" s="39">
        <f>SUM('Energy Schedule'!M79:M94)/4</f>
        <v>9</v>
      </c>
      <c r="J48" s="14">
        <f t="shared" si="4"/>
        <v>9000</v>
      </c>
      <c r="K48" s="14">
        <f t="shared" si="5"/>
        <v>8691.2999999999993</v>
      </c>
      <c r="L48" s="14">
        <f t="shared" si="6"/>
        <v>8487.9235799999988</v>
      </c>
      <c r="M48" s="14">
        <f t="shared" si="7"/>
        <v>8322.4090701899986</v>
      </c>
    </row>
    <row r="49" spans="1:13" ht="14.5" x14ac:dyDescent="0.3">
      <c r="A49" s="47" t="s">
        <v>160</v>
      </c>
      <c r="B49" s="46">
        <f>B47-B45</f>
        <v>1.7171977290341438</v>
      </c>
      <c r="G49" s="22"/>
      <c r="H49" s="14" t="s">
        <v>32</v>
      </c>
      <c r="I49" s="37">
        <f>SUM('Energy Schedule'!M95:M102)/4</f>
        <v>0.5</v>
      </c>
      <c r="J49" s="14">
        <f t="shared" si="4"/>
        <v>500</v>
      </c>
      <c r="K49" s="14">
        <f t="shared" si="5"/>
        <v>482.85</v>
      </c>
      <c r="L49" s="14">
        <f t="shared" si="6"/>
        <v>471.55131</v>
      </c>
      <c r="M49" s="14">
        <f t="shared" si="7"/>
        <v>462.35605945499998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Schedule'!N7:N26)/4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Schedule'!N27:N30)/4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Schedule'!N31:N46)/4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Schedule'!N47:N78)/4</f>
        <v>0</v>
      </c>
      <c r="J54" s="14">
        <f t="shared" si="4"/>
        <v>0</v>
      </c>
      <c r="K54" s="14">
        <f t="shared" si="5"/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Schedule'!N79:N94)/4</f>
        <v>3</v>
      </c>
      <c r="J55" s="14">
        <f t="shared" si="4"/>
        <v>3000</v>
      </c>
      <c r="K55" s="14">
        <f t="shared" si="5"/>
        <v>2897.1</v>
      </c>
      <c r="L55" s="14">
        <f t="shared" si="6"/>
        <v>2829.3078599999999</v>
      </c>
      <c r="M55" s="14">
        <f t="shared" si="7"/>
        <v>2774.13635673</v>
      </c>
    </row>
    <row r="56" spans="1:13" s="8" customFormat="1" ht="14.5" x14ac:dyDescent="0.3">
      <c r="G56" s="22"/>
      <c r="H56" s="14" t="s">
        <v>32</v>
      </c>
      <c r="I56" s="37">
        <f>SUM('Energy Schedule'!N95:N102)/4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paperSize="9" orientation="portrait" horizontalDpi="0" verticalDpi="0" r:id="rId1"/>
  <ignoredErrors>
    <ignoredError sqref="I38:I42 I44:I49 I51:I56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D93C-7180-4763-BA9A-5E46534AEAED}">
  <dimension ref="A2:O222"/>
  <sheetViews>
    <sheetView zoomScale="80" zoomScaleNormal="80" workbookViewId="0">
      <selection activeCell="B7" sqref="B7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Schedule'!O$103</f>
        <v>0</v>
      </c>
      <c r="D3" s="33">
        <f>'Energy Schedule'!P$103</f>
        <v>10</v>
      </c>
      <c r="E3" s="33">
        <f>'Energy Schedule'!Q$103</f>
        <v>3.75</v>
      </c>
      <c r="G3" s="22"/>
      <c r="H3" s="22"/>
    </row>
    <row r="4" spans="1:11" ht="14.5" x14ac:dyDescent="0.3">
      <c r="A4" s="31" t="s">
        <v>10</v>
      </c>
      <c r="B4" s="32"/>
      <c r="C4" s="34">
        <f>'Energy Schedule'!O$5</f>
        <v>0</v>
      </c>
      <c r="D4" s="34">
        <f>'Energy Schedule'!P$5</f>
        <v>39837.9683</v>
      </c>
      <c r="E4" s="34">
        <f>'Energy Schedule'!Q$5</f>
        <v>16147.49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10000</v>
      </c>
      <c r="E5" s="48">
        <f t="shared" si="0"/>
        <v>3750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Schedule'!P3</f>
        <v>3.61E-2</v>
      </c>
      <c r="C6" s="49">
        <f>C5-(C5*$B$6)</f>
        <v>0</v>
      </c>
      <c r="D6" s="49">
        <f>D5-(D5*$B$6)</f>
        <v>9639</v>
      </c>
      <c r="E6" s="49">
        <f>E5-(E5*$B$6)</f>
        <v>3614.625</v>
      </c>
      <c r="G6" s="22"/>
      <c r="H6" s="62" t="s">
        <v>28</v>
      </c>
      <c r="I6" s="76">
        <f>D33</f>
        <v>346.12069408874999</v>
      </c>
      <c r="J6" s="1">
        <f>'Consumption Details'!$B7</f>
        <v>1950</v>
      </c>
      <c r="K6" s="14">
        <f>J6-I6</f>
        <v>1603.87930591125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9413.4473999999991</v>
      </c>
      <c r="E7" s="49">
        <f>E6-(E6*$B$7)</f>
        <v>3530.0427749999999</v>
      </c>
      <c r="G7" s="22"/>
      <c r="H7" s="62" t="s">
        <v>29</v>
      </c>
      <c r="I7" s="76">
        <f t="shared" ref="I7:I9" si="1">D34</f>
        <v>7614.6552699525</v>
      </c>
      <c r="J7" s="1">
        <f>'Consumption Details'!$C7</f>
        <v>9300</v>
      </c>
      <c r="K7" s="14">
        <f t="shared" ref="K7:K9" si="2">J7-I7</f>
        <v>1685.3447300475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9229.8851756999993</v>
      </c>
      <c r="E8" s="49">
        <f>E7-(E7*$B$8)</f>
        <v>3461.2069408875</v>
      </c>
      <c r="G8" s="22"/>
      <c r="H8" s="62" t="s">
        <v>31</v>
      </c>
      <c r="I8" s="76">
        <f t="shared" si="1"/>
        <v>2307.4712939249998</v>
      </c>
      <c r="J8" s="1">
        <f>'Consumption Details'!$D7</f>
        <v>19400</v>
      </c>
      <c r="K8" s="14">
        <f t="shared" si="2"/>
        <v>17092.528706075002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9229.8851756999993</v>
      </c>
      <c r="E9" s="49">
        <f>E8</f>
        <v>3461.2069408875</v>
      </c>
      <c r="G9" s="22"/>
      <c r="H9" s="62" t="s">
        <v>32</v>
      </c>
      <c r="I9" s="76">
        <f t="shared" si="1"/>
        <v>2422.8448586212498</v>
      </c>
      <c r="J9" s="1">
        <f>'Consumption Details'!$E7</f>
        <v>3400</v>
      </c>
      <c r="K9" s="14">
        <f t="shared" si="2"/>
        <v>977.15514137875016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4.3161932723587393</v>
      </c>
      <c r="E10" s="49">
        <f>E4/E9</f>
        <v>4.6652772503280504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236</v>
      </c>
      <c r="E11" s="49">
        <f>(E3*1000*$B$11)+(E3*1000*$B$11*18%)</f>
        <v>88.5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60">
        <f>'Energy Schedule'!O$6</f>
        <v>0</v>
      </c>
      <c r="D12" s="60">
        <f>'Energy Schedule'!P$6</f>
        <v>8.18</v>
      </c>
      <c r="E12" s="60">
        <f>'Energy Schedule'!Q$6</f>
        <v>13.55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4576</v>
      </c>
      <c r="E13" s="49">
        <f>E3*$B$13</f>
        <v>1716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10</v>
      </c>
      <c r="E14" s="49">
        <f>E3*$B$14</f>
        <v>3.75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2600</v>
      </c>
      <c r="E15" s="49">
        <f>E3*$B$15</f>
        <v>975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14.058333333333335</v>
      </c>
      <c r="E17" s="49">
        <f>E3*$B$17/24</f>
        <v>5.2718750000000005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200</v>
      </c>
      <c r="E18" s="49">
        <f>E3*$B$18*1000</f>
        <v>75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18367.471499642998</v>
      </c>
      <c r="E19" s="49">
        <f>E9*$B$19</f>
        <v>6887.801812366125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9599.0805827280001</v>
      </c>
      <c r="E21" s="49">
        <f>E8*$B$21</f>
        <v>3599.6552185230003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116.29655321381998</v>
      </c>
      <c r="E23" s="49">
        <f>E9*$B$23*10.5%</f>
        <v>43.611207455182495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116.29655321381998</v>
      </c>
      <c r="E24" s="55">
        <f>E9*$B$24*10.5%</f>
        <v>43.611207455182495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36013.383522131968</v>
      </c>
      <c r="E25" s="59">
        <f>SUM(E11:E24)</f>
        <v>13621.751320799489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3.9018235694790961</v>
      </c>
      <c r="E26" s="58">
        <f>E25/E9</f>
        <v>3.9355495217245489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75851.351822131968</v>
      </c>
      <c r="E27" s="14">
        <f>E4+E25</f>
        <v>29769.24132079949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8.2180168418378354</v>
      </c>
      <c r="E28" s="16">
        <f>E27/E9</f>
        <v>8.6008267720525993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375</v>
      </c>
      <c r="D33" s="23">
        <f>M39+M46+M53</f>
        <v>346.12069408874999</v>
      </c>
      <c r="E33" s="3">
        <f>D33*B33</f>
        <v>3861.4089934276171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8250</v>
      </c>
      <c r="D34" s="13">
        <f>M41+M48+M55</f>
        <v>7614.6552699525</v>
      </c>
      <c r="E34" s="3">
        <f>D34*B34</f>
        <v>84950.997855407579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2500</v>
      </c>
      <c r="D35" s="13">
        <f>M38+M40+M45+M47+M52+M54</f>
        <v>2307.4712939249998</v>
      </c>
      <c r="E35" s="3">
        <f>D35*B35</f>
        <v>20594.181298280626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2625</v>
      </c>
      <c r="D36" s="13">
        <f>M37+M42+M44+M49+M51+M56</f>
        <v>2422.8448586212498</v>
      </c>
      <c r="E36" s="13">
        <f>D36*B36</f>
        <v>20542.695845034923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13750</v>
      </c>
      <c r="D37" s="12">
        <f>SUM(D33:D36)</f>
        <v>12691.092116587501</v>
      </c>
      <c r="E37" s="10">
        <f>SUM(E33:E36)</f>
        <v>129949.28399215074</v>
      </c>
      <c r="F37" s="23"/>
      <c r="G37" s="22"/>
      <c r="H37" s="14" t="s">
        <v>32</v>
      </c>
      <c r="I37" s="37">
        <f>SUM('Energy Schedule'!O7:O26)/4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Schedule'!O27:O30)/4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Schedule'!O31:O46)/4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Schedule'!O47:O78)/4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9">
        <f>SUM('Energy Schedule'!O79:O94)/4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13750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Schedule'!O95:O102)/4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12691.092116587501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105620.59314293147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Schedule'!P7:P26)/4</f>
        <v>2.5</v>
      </c>
      <c r="J44" s="14">
        <f t="shared" si="4"/>
        <v>2500</v>
      </c>
      <c r="K44" s="14">
        <f>J44-(J44*$B$6)</f>
        <v>2409.75</v>
      </c>
      <c r="L44" s="14">
        <f t="shared" si="6"/>
        <v>2353.3618499999998</v>
      </c>
      <c r="M44" s="14">
        <f t="shared" si="7"/>
        <v>2307.4712939249998</v>
      </c>
    </row>
    <row r="45" spans="1:15" ht="14.5" x14ac:dyDescent="0.3">
      <c r="A45" s="47" t="s">
        <v>158</v>
      </c>
      <c r="B45" s="16">
        <f>B44/B43</f>
        <v>8.3224195500782265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Schedule'!P27:P30)/4</f>
        <v>0.5</v>
      </c>
      <c r="J45" s="14">
        <f t="shared" si="4"/>
        <v>500</v>
      </c>
      <c r="K45" s="14">
        <f t="shared" si="5"/>
        <v>481.95</v>
      </c>
      <c r="L45" s="14">
        <f t="shared" si="6"/>
        <v>470.67237</v>
      </c>
      <c r="M45" s="14">
        <f t="shared" si="7"/>
        <v>461.494258785</v>
      </c>
    </row>
    <row r="46" spans="1:15" ht="14.5" x14ac:dyDescent="0.3">
      <c r="A46" s="47" t="s">
        <v>18</v>
      </c>
      <c r="B46" s="7">
        <f>E37</f>
        <v>129949.28399215074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Schedule'!P31:P46)/4</f>
        <v>0.375</v>
      </c>
      <c r="J46" s="14">
        <f t="shared" si="4"/>
        <v>375</v>
      </c>
      <c r="K46" s="14">
        <f t="shared" si="5"/>
        <v>361.46249999999998</v>
      </c>
      <c r="L46" s="14">
        <f t="shared" si="6"/>
        <v>353.0042775</v>
      </c>
      <c r="M46" s="14">
        <f t="shared" si="7"/>
        <v>346.12069408874999</v>
      </c>
    </row>
    <row r="47" spans="1:15" ht="14.5" x14ac:dyDescent="0.3">
      <c r="A47" s="47" t="s">
        <v>159</v>
      </c>
      <c r="B47" s="46">
        <f>B46/B43</f>
        <v>10.23940909090909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Schedule'!P47:P78)/4</f>
        <v>2</v>
      </c>
      <c r="J47" s="14">
        <f t="shared" si="4"/>
        <v>2000</v>
      </c>
      <c r="K47" s="14">
        <f t="shared" si="5"/>
        <v>1927.8</v>
      </c>
      <c r="L47" s="14">
        <f t="shared" si="6"/>
        <v>1882.68948</v>
      </c>
      <c r="M47" s="14">
        <f t="shared" si="7"/>
        <v>1845.97703514</v>
      </c>
    </row>
    <row r="48" spans="1:15" ht="14.5" x14ac:dyDescent="0.3">
      <c r="A48" s="47" t="s">
        <v>19</v>
      </c>
      <c r="B48" s="7">
        <f>B46-B44</f>
        <v>24328.690849219274</v>
      </c>
      <c r="G48" s="22"/>
      <c r="H48" s="14" t="s">
        <v>29</v>
      </c>
      <c r="I48" s="39">
        <f>SUM('Energy Schedule'!P79:P94)/4</f>
        <v>4.5</v>
      </c>
      <c r="J48" s="14">
        <f t="shared" si="4"/>
        <v>4500</v>
      </c>
      <c r="K48" s="14">
        <f t="shared" si="5"/>
        <v>4337.55</v>
      </c>
      <c r="L48" s="14">
        <f t="shared" si="6"/>
        <v>4236.0513300000002</v>
      </c>
      <c r="M48" s="14">
        <f t="shared" si="7"/>
        <v>4153.4483290650005</v>
      </c>
    </row>
    <row r="49" spans="1:13" ht="14.5" x14ac:dyDescent="0.3">
      <c r="A49" s="47" t="s">
        <v>160</v>
      </c>
      <c r="B49" s="46">
        <f>B47-B45</f>
        <v>1.9169895408308637</v>
      </c>
      <c r="G49" s="22"/>
      <c r="H49" s="14" t="s">
        <v>32</v>
      </c>
      <c r="I49" s="37">
        <f>SUM('Energy Schedule'!P95:P102)/4</f>
        <v>0.125</v>
      </c>
      <c r="J49" s="14">
        <f t="shared" si="4"/>
        <v>125</v>
      </c>
      <c r="K49" s="14">
        <f t="shared" si="5"/>
        <v>120.4875</v>
      </c>
      <c r="L49" s="14">
        <f t="shared" si="6"/>
        <v>117.6680925</v>
      </c>
      <c r="M49" s="14">
        <f t="shared" si="7"/>
        <v>115.37356469625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Schedule'!Q7:Q26)/4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Schedule'!Q27:Q30)/4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Schedule'!Q31:Q46)/4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Schedule'!Q47:Q78)/4</f>
        <v>0</v>
      </c>
      <c r="J54" s="14">
        <f t="shared" si="4"/>
        <v>0</v>
      </c>
      <c r="K54" s="14">
        <f t="shared" si="5"/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Schedule'!Q79:Q94)/4</f>
        <v>3.75</v>
      </c>
      <c r="J55" s="14">
        <f t="shared" si="4"/>
        <v>3750</v>
      </c>
      <c r="K55" s="14">
        <f t="shared" si="5"/>
        <v>3614.625</v>
      </c>
      <c r="L55" s="14">
        <f t="shared" si="6"/>
        <v>3530.0427749999999</v>
      </c>
      <c r="M55" s="14">
        <f t="shared" si="7"/>
        <v>3461.2069408875</v>
      </c>
    </row>
    <row r="56" spans="1:13" s="8" customFormat="1" ht="14.5" x14ac:dyDescent="0.3">
      <c r="G56" s="22"/>
      <c r="H56" s="14" t="s">
        <v>32</v>
      </c>
      <c r="I56" s="37">
        <f>SUM('Energy Schedule'!Q95:Q102)/4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ignoredErrors>
    <ignoredError sqref="I51:I56 I37 I44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9555-B485-4288-861D-4D20726878AB}">
  <dimension ref="A2:O222"/>
  <sheetViews>
    <sheetView zoomScale="80" zoomScaleNormal="80" workbookViewId="0">
      <selection activeCell="B7" sqref="B7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Schedule'!R$103</f>
        <v>0</v>
      </c>
      <c r="D3" s="33">
        <f>'Energy Schedule'!S$103</f>
        <v>13</v>
      </c>
      <c r="E3" s="33">
        <f>'Energy Schedule'!T$103</f>
        <v>2.75</v>
      </c>
      <c r="G3" s="22"/>
      <c r="H3" s="22"/>
    </row>
    <row r="4" spans="1:11" ht="14.5" x14ac:dyDescent="0.3">
      <c r="A4" s="31" t="s">
        <v>10</v>
      </c>
      <c r="B4" s="32"/>
      <c r="C4" s="34">
        <f>'Energy Schedule'!R$5</f>
        <v>0</v>
      </c>
      <c r="D4" s="34">
        <f>'Energy Schedule'!S$5</f>
        <v>54907.276899999997</v>
      </c>
      <c r="E4" s="34">
        <f>'Energy Schedule'!T$5</f>
        <v>13002.64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13000</v>
      </c>
      <c r="E5" s="48">
        <f t="shared" si="0"/>
        <v>2750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Schedule'!S3</f>
        <v>3.61E-2</v>
      </c>
      <c r="C6" s="49">
        <f>C5-(C5*$B$6)</f>
        <v>0</v>
      </c>
      <c r="D6" s="49">
        <f>D5-(D5*$B$6)</f>
        <v>12530.7</v>
      </c>
      <c r="E6" s="49">
        <f>E5-(E5*$B$6)</f>
        <v>2650.7249999999999</v>
      </c>
      <c r="G6" s="22"/>
      <c r="H6" s="62" t="s">
        <v>28</v>
      </c>
      <c r="I6" s="76">
        <f>D33</f>
        <v>115.37356469625</v>
      </c>
      <c r="J6" s="1">
        <f>'Consumption Details'!$B8</f>
        <v>1850</v>
      </c>
      <c r="K6" s="14">
        <f>J6-I6</f>
        <v>1734.62643530375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12237.48162</v>
      </c>
      <c r="E7" s="49">
        <f>E6-(E6*$B$7)</f>
        <v>2588.6980349999999</v>
      </c>
      <c r="G7" s="22"/>
      <c r="H7" s="62" t="s">
        <v>29</v>
      </c>
      <c r="I7" s="76">
        <f t="shared" ref="I7:I9" si="1">D34</f>
        <v>8306.896658130001</v>
      </c>
      <c r="J7" s="1">
        <f>'Consumption Details'!$C8</f>
        <v>9050</v>
      </c>
      <c r="K7" s="14">
        <f t="shared" ref="K7:K9" si="2">J7-I7</f>
        <v>743.10334186999899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11998.85072841</v>
      </c>
      <c r="E8" s="49">
        <f>E7-(E7*$B$8)</f>
        <v>2538.2184233174999</v>
      </c>
      <c r="G8" s="22"/>
      <c r="H8" s="62" t="s">
        <v>31</v>
      </c>
      <c r="I8" s="76">
        <f t="shared" si="1"/>
        <v>3691.95407028</v>
      </c>
      <c r="J8" s="1">
        <f>'Consumption Details'!$D8</f>
        <v>17550</v>
      </c>
      <c r="K8" s="14">
        <f t="shared" si="2"/>
        <v>13858.04592972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11998.85072841</v>
      </c>
      <c r="E9" s="49">
        <f>E8</f>
        <v>2538.2184233174999</v>
      </c>
      <c r="G9" s="22"/>
      <c r="H9" s="62" t="s">
        <v>32</v>
      </c>
      <c r="I9" s="76">
        <f t="shared" si="1"/>
        <v>2422.8448586212498</v>
      </c>
      <c r="J9" s="1">
        <f>'Consumption Details'!$E8</f>
        <v>3350</v>
      </c>
      <c r="K9" s="14">
        <f t="shared" si="2"/>
        <v>927.15514137875016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4.5760446681776425</v>
      </c>
      <c r="E10" s="49">
        <f>E4/E9</f>
        <v>5.1227427397699294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306.8</v>
      </c>
      <c r="E11" s="49">
        <f>(E3*1000*$B$11)+(E3*1000*$B$11*18%)</f>
        <v>64.900000000000006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60">
        <f>'Energy Schedule'!R$6</f>
        <v>0</v>
      </c>
      <c r="D12" s="60">
        <f>'Energy Schedule'!S$6</f>
        <v>8.35</v>
      </c>
      <c r="E12" s="60">
        <f>'Energy Schedule'!T$6</f>
        <v>12.53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5948.8</v>
      </c>
      <c r="E13" s="49">
        <f>E3*$B$13</f>
        <v>1258.4000000000001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13</v>
      </c>
      <c r="E14" s="49">
        <f>E3*$B$14</f>
        <v>2.75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3380</v>
      </c>
      <c r="E15" s="49">
        <f>E3*$B$15</f>
        <v>715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18.275833333333335</v>
      </c>
      <c r="E17" s="49">
        <f>E3*$B$17/24</f>
        <v>3.8660416666666673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260</v>
      </c>
      <c r="E18" s="49">
        <f>E3*$B$18*1000</f>
        <v>55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23877.7129495359</v>
      </c>
      <c r="E19" s="49">
        <f>E9*$B$19</f>
        <v>5051.0546624018243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12478.804757546401</v>
      </c>
      <c r="E21" s="49">
        <f>E8*$B$21</f>
        <v>2639.7471602502001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151.18551917796597</v>
      </c>
      <c r="E23" s="49">
        <f>E9*$B$23*10.5%</f>
        <v>31.981552133800495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151.18551917796597</v>
      </c>
      <c r="E24" s="55">
        <f>E9*$B$24*10.5%</f>
        <v>31.981552133800495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46764.114578771572</v>
      </c>
      <c r="E25" s="59">
        <f>SUM(E11:E24)</f>
        <v>10037.210968586292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3.8973828108426192</v>
      </c>
      <c r="E26" s="58">
        <f>E25/E9</f>
        <v>3.9544315321245942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101671.39147877158</v>
      </c>
      <c r="E27" s="14">
        <f>E4+E25</f>
        <v>23039.850968586292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8.4734274790202626</v>
      </c>
      <c r="E28" s="16">
        <f>E27/E9</f>
        <v>9.0771742718945241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125</v>
      </c>
      <c r="D33" s="23">
        <f>M39+M46+M53</f>
        <v>115.37356469625</v>
      </c>
      <c r="E33" s="3">
        <f>D33*B33</f>
        <v>1287.1363311425391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9000</v>
      </c>
      <c r="D34" s="13">
        <f>M41+M48+M55</f>
        <v>8306.896658130001</v>
      </c>
      <c r="E34" s="3">
        <f>D34*B34</f>
        <v>92673.815842262818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4000</v>
      </c>
      <c r="D35" s="13">
        <f>M38+M40+M45+M47+M52+M54</f>
        <v>3691.95407028</v>
      </c>
      <c r="E35" s="3">
        <f>D35*B35</f>
        <v>32950.690077249004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2625</v>
      </c>
      <c r="D36" s="13">
        <f>M37+M42+M44+M49+M51+M56</f>
        <v>2422.8448586212498</v>
      </c>
      <c r="E36" s="13">
        <f>D36*B36</f>
        <v>20542.695845034923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15750</v>
      </c>
      <c r="D37" s="12">
        <f>SUM(D33:D36)</f>
        <v>14537.069151727501</v>
      </c>
      <c r="E37" s="10">
        <f>SUM(E33:E36)</f>
        <v>147454.33809568928</v>
      </c>
      <c r="F37" s="23"/>
      <c r="G37" s="22"/>
      <c r="H37" s="14" t="s">
        <v>32</v>
      </c>
      <c r="I37" s="37">
        <f>SUM('Energy Schedule'!R7:R26)/4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Schedule'!R27:R30)/4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Schedule'!R31:R46)/4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Schedule'!R47:R78)/4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9">
        <f>SUM('Energy Schedule'!R79:R94)/4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15750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Schedule'!R95:R102)/4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14537.069151727501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124711.24244735787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Schedule'!S7:S26)/4</f>
        <v>2.5</v>
      </c>
      <c r="J44" s="14">
        <f t="shared" si="4"/>
        <v>2500</v>
      </c>
      <c r="K44" s="14">
        <f>J44-(J44*$B$6)</f>
        <v>2409.75</v>
      </c>
      <c r="L44" s="14">
        <f t="shared" si="6"/>
        <v>2353.3618499999998</v>
      </c>
      <c r="M44" s="14">
        <f t="shared" si="7"/>
        <v>2307.4712939249998</v>
      </c>
    </row>
    <row r="45" spans="1:15" ht="14.5" x14ac:dyDescent="0.3">
      <c r="A45" s="47" t="s">
        <v>158</v>
      </c>
      <c r="B45" s="16">
        <f>B44/B43</f>
        <v>8.5788435857125922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Schedule'!S27:S30)/4</f>
        <v>0.5</v>
      </c>
      <c r="J45" s="14">
        <f t="shared" si="4"/>
        <v>500</v>
      </c>
      <c r="K45" s="14">
        <f t="shared" si="5"/>
        <v>481.95</v>
      </c>
      <c r="L45" s="14">
        <f t="shared" si="6"/>
        <v>470.67237</v>
      </c>
      <c r="M45" s="14">
        <f t="shared" si="7"/>
        <v>461.494258785</v>
      </c>
    </row>
    <row r="46" spans="1:15" ht="14.5" x14ac:dyDescent="0.3">
      <c r="A46" s="47" t="s">
        <v>18</v>
      </c>
      <c r="B46" s="7">
        <f>E37</f>
        <v>147454.33809568928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Schedule'!S31:S46)/4</f>
        <v>0.125</v>
      </c>
      <c r="J46" s="14">
        <f t="shared" si="4"/>
        <v>125</v>
      </c>
      <c r="K46" s="14">
        <f t="shared" si="5"/>
        <v>120.4875</v>
      </c>
      <c r="L46" s="14">
        <f t="shared" si="6"/>
        <v>117.6680925</v>
      </c>
      <c r="M46" s="14">
        <f t="shared" si="7"/>
        <v>115.37356469625</v>
      </c>
    </row>
    <row r="47" spans="1:15" ht="14.5" x14ac:dyDescent="0.3">
      <c r="A47" s="47" t="s">
        <v>159</v>
      </c>
      <c r="B47" s="46">
        <f>B46/B43</f>
        <v>10.143333333333333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Schedule'!S47:S78)/4</f>
        <v>3</v>
      </c>
      <c r="J47" s="14">
        <f t="shared" si="4"/>
        <v>3000</v>
      </c>
      <c r="K47" s="14">
        <f t="shared" si="5"/>
        <v>2891.7</v>
      </c>
      <c r="L47" s="14">
        <f t="shared" si="6"/>
        <v>2824.03422</v>
      </c>
      <c r="M47" s="14">
        <f t="shared" si="7"/>
        <v>2768.9655527099999</v>
      </c>
    </row>
    <row r="48" spans="1:15" ht="14.5" x14ac:dyDescent="0.3">
      <c r="A48" s="47" t="s">
        <v>19</v>
      </c>
      <c r="B48" s="7">
        <f>B46-B44</f>
        <v>22743.095648331408</v>
      </c>
      <c r="G48" s="22"/>
      <c r="H48" s="14" t="s">
        <v>29</v>
      </c>
      <c r="I48" s="39">
        <f>SUM('Energy Schedule'!S79:S94)/4</f>
        <v>6.75</v>
      </c>
      <c r="J48" s="14">
        <f t="shared" si="4"/>
        <v>6750</v>
      </c>
      <c r="K48" s="14">
        <f t="shared" si="5"/>
        <v>6506.3249999999998</v>
      </c>
      <c r="L48" s="14">
        <f t="shared" si="6"/>
        <v>6354.0769949999994</v>
      </c>
      <c r="M48" s="14">
        <f t="shared" si="7"/>
        <v>6230.1724935974999</v>
      </c>
    </row>
    <row r="49" spans="1:13" ht="14.5" x14ac:dyDescent="0.3">
      <c r="A49" s="47" t="s">
        <v>160</v>
      </c>
      <c r="B49" s="46">
        <f>B47-B45</f>
        <v>1.5644897476207404</v>
      </c>
      <c r="G49" s="22"/>
      <c r="H49" s="14" t="s">
        <v>32</v>
      </c>
      <c r="I49" s="37">
        <f>SUM('Energy Schedule'!S95:S102)/4</f>
        <v>0.125</v>
      </c>
      <c r="J49" s="14">
        <f t="shared" si="4"/>
        <v>125</v>
      </c>
      <c r="K49" s="14">
        <f t="shared" si="5"/>
        <v>120.4875</v>
      </c>
      <c r="L49" s="14">
        <f t="shared" si="6"/>
        <v>117.6680925</v>
      </c>
      <c r="M49" s="14">
        <f t="shared" si="7"/>
        <v>115.37356469625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Schedule'!T7:T26)/4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Schedule'!T27:T30)/4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Schedule'!T31:T46)/4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Schedule'!T47:T78)/4</f>
        <v>0.5</v>
      </c>
      <c r="J54" s="14">
        <f t="shared" si="4"/>
        <v>500</v>
      </c>
      <c r="K54" s="14">
        <f t="shared" si="5"/>
        <v>481.95</v>
      </c>
      <c r="L54" s="14">
        <f t="shared" si="6"/>
        <v>470.67237</v>
      </c>
      <c r="M54" s="14">
        <f t="shared" si="7"/>
        <v>461.494258785</v>
      </c>
    </row>
    <row r="55" spans="1:13" s="8" customFormat="1" ht="14.5" x14ac:dyDescent="0.3">
      <c r="G55" s="22"/>
      <c r="H55" s="14" t="s">
        <v>29</v>
      </c>
      <c r="I55" s="39">
        <f>SUM('Energy Schedule'!T79:T94)/4</f>
        <v>2.25</v>
      </c>
      <c r="J55" s="14">
        <f t="shared" si="4"/>
        <v>2250</v>
      </c>
      <c r="K55" s="14">
        <f t="shared" si="5"/>
        <v>2168.7750000000001</v>
      </c>
      <c r="L55" s="14">
        <f t="shared" si="6"/>
        <v>2118.0256650000001</v>
      </c>
      <c r="M55" s="14">
        <f t="shared" si="7"/>
        <v>2076.7241645325003</v>
      </c>
    </row>
    <row r="56" spans="1:13" s="8" customFormat="1" ht="14.5" x14ac:dyDescent="0.3">
      <c r="G56" s="22"/>
      <c r="H56" s="14" t="s">
        <v>32</v>
      </c>
      <c r="I56" s="37">
        <f>SUM('Energy Schedule'!T95:T102)/4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ignoredErrors>
    <ignoredError sqref="I44 I51:I56 I37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AE5F-91F0-495E-8CDB-738BE58053CB}">
  <dimension ref="A2:O222"/>
  <sheetViews>
    <sheetView zoomScale="80" zoomScaleNormal="80" workbookViewId="0">
      <selection activeCell="B7" sqref="B7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Schedule'!U$103</f>
        <v>0</v>
      </c>
      <c r="D3" s="33">
        <f>'Energy Schedule'!V$103</f>
        <v>8.4149999999999991</v>
      </c>
      <c r="E3" s="33">
        <f>'Energy Schedule'!W$103</f>
        <v>5.45</v>
      </c>
      <c r="G3" s="22"/>
      <c r="H3" s="22"/>
    </row>
    <row r="4" spans="1:11" ht="14.5" x14ac:dyDescent="0.3">
      <c r="A4" s="31" t="s">
        <v>10</v>
      </c>
      <c r="B4" s="32"/>
      <c r="C4" s="34">
        <f>'Energy Schedule'!U$5</f>
        <v>0</v>
      </c>
      <c r="D4" s="34">
        <f>'Energy Schedule'!V$5</f>
        <v>33736.897900000004</v>
      </c>
      <c r="E4" s="34">
        <f>'Energy Schedule'!W$5</f>
        <v>22760.98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8415</v>
      </c>
      <c r="E5" s="48">
        <f t="shared" si="0"/>
        <v>5450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Schedule'!V3</f>
        <v>3.61E-2</v>
      </c>
      <c r="C6" s="49">
        <f>C5-(C5*$B$6)</f>
        <v>0</v>
      </c>
      <c r="D6" s="49">
        <f>D5-(D5*$B$6)</f>
        <v>8111.2184999999999</v>
      </c>
      <c r="E6" s="49">
        <f>E5-(E5*$B$6)</f>
        <v>5253.2550000000001</v>
      </c>
      <c r="G6" s="22"/>
      <c r="H6" s="62" t="s">
        <v>28</v>
      </c>
      <c r="I6" s="76">
        <f>D33</f>
        <v>0</v>
      </c>
      <c r="J6" s="1">
        <f>'Consumption Details'!$B9</f>
        <v>1950</v>
      </c>
      <c r="K6" s="14">
        <f>J6-I6</f>
        <v>1950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7921.4159871000002</v>
      </c>
      <c r="E7" s="49">
        <f>E6-(E6*$B$7)</f>
        <v>5130.3288330000005</v>
      </c>
      <c r="G7" s="22"/>
      <c r="H7" s="62" t="s">
        <v>29</v>
      </c>
      <c r="I7" s="76">
        <f t="shared" ref="I7:I9" si="1">D34</f>
        <v>6922.4138817750008</v>
      </c>
      <c r="J7" s="1">
        <f>'Consumption Details'!$C9</f>
        <v>9450</v>
      </c>
      <c r="K7" s="14">
        <f t="shared" ref="K7:K9" si="2">J7-I7</f>
        <v>2527.5861182249992</v>
      </c>
    </row>
    <row r="8" spans="1:11" ht="14.5" x14ac:dyDescent="0.3">
      <c r="A8" s="40" t="s">
        <v>49</v>
      </c>
      <c r="B8" s="66">
        <f>'TNEB Charges'!B2</f>
        <v>1.95E-2</v>
      </c>
      <c r="C8" s="49">
        <f>C7-(C7*$B$8)</f>
        <v>0</v>
      </c>
      <c r="D8" s="49">
        <f>D7-(D7*$B$8)</f>
        <v>7766.9483753515506</v>
      </c>
      <c r="E8" s="49">
        <f>E7-(E7*$B$8)</f>
        <v>5030.2874207565001</v>
      </c>
      <c r="G8" s="22"/>
      <c r="H8" s="62" t="s">
        <v>31</v>
      </c>
      <c r="I8" s="76">
        <f t="shared" si="1"/>
        <v>3345.83337619125</v>
      </c>
      <c r="J8" s="1">
        <f>'Consumption Details'!$D9</f>
        <v>17950</v>
      </c>
      <c r="K8" s="14">
        <f t="shared" si="2"/>
        <v>14604.166623808749</v>
      </c>
    </row>
    <row r="9" spans="1:11" ht="14.5" x14ac:dyDescent="0.3">
      <c r="A9" s="40" t="s">
        <v>50</v>
      </c>
      <c r="B9" s="11">
        <f>'TNEB Charges'!B3</f>
        <v>0</v>
      </c>
      <c r="C9" s="49">
        <f>C8</f>
        <v>0</v>
      </c>
      <c r="D9" s="49">
        <f>D8</f>
        <v>7766.9483753515506</v>
      </c>
      <c r="E9" s="49">
        <f>E8</f>
        <v>5030.2874207565001</v>
      </c>
      <c r="G9" s="22"/>
      <c r="H9" s="62" t="s">
        <v>32</v>
      </c>
      <c r="I9" s="76">
        <f t="shared" si="1"/>
        <v>2528.9885381417998</v>
      </c>
      <c r="J9" s="1">
        <f>'Consumption Details'!$E9</f>
        <v>3200</v>
      </c>
      <c r="K9" s="14">
        <f t="shared" si="2"/>
        <v>671.01146185820016</v>
      </c>
    </row>
    <row r="10" spans="1:11" ht="14.5" x14ac:dyDescent="0.3">
      <c r="A10" s="40" t="s">
        <v>51</v>
      </c>
      <c r="B10" s="11">
        <f>'TNEB Charges'!B4</f>
        <v>0</v>
      </c>
      <c r="C10" s="49" t="e">
        <f>C4/C9</f>
        <v>#DIV/0!</v>
      </c>
      <c r="D10" s="49">
        <f>D4/D9</f>
        <v>4.3436490458806469</v>
      </c>
      <c r="E10" s="49">
        <f>E4/E9</f>
        <v>4.5247871734090692</v>
      </c>
      <c r="G10" s="22"/>
      <c r="H10" s="22"/>
    </row>
    <row r="11" spans="1:11" ht="14.5" x14ac:dyDescent="0.3">
      <c r="A11" s="40" t="s">
        <v>6</v>
      </c>
      <c r="B11" s="11">
        <f>'TNEB Charges'!B5</f>
        <v>0.02</v>
      </c>
      <c r="C11" s="49">
        <f>(C3*1000*$B$11)+(C3*1000*$B$11*18%)</f>
        <v>0</v>
      </c>
      <c r="D11" s="49">
        <f>(D3*1000*$B$11)+(D3*1000*$B$11*18%)</f>
        <v>198.59400000000002</v>
      </c>
      <c r="E11" s="49">
        <f>(E3*1000*$B$11)+(E3*1000*$B$11*18%)</f>
        <v>128.62</v>
      </c>
      <c r="G11" s="22"/>
      <c r="H11" s="22"/>
    </row>
    <row r="12" spans="1:11" ht="14.5" x14ac:dyDescent="0.3">
      <c r="A12" s="40" t="s">
        <v>52</v>
      </c>
      <c r="B12" s="11">
        <f>'TNEB Charges'!B6</f>
        <v>0</v>
      </c>
      <c r="C12" s="34">
        <f>'Energy Schedule'!U$6</f>
        <v>0</v>
      </c>
      <c r="D12" s="34">
        <f>'Energy Schedule'!V$6</f>
        <v>8.61</v>
      </c>
      <c r="E12" s="34">
        <f>'Energy Schedule'!W$6</f>
        <v>12.89</v>
      </c>
      <c r="G12" s="22"/>
      <c r="H12" s="22"/>
    </row>
    <row r="13" spans="1:11" ht="14.5" x14ac:dyDescent="0.3">
      <c r="A13" s="40" t="s">
        <v>53</v>
      </c>
      <c r="B13" s="11">
        <f>'TNEB Charges'!B7</f>
        <v>457.6</v>
      </c>
      <c r="C13" s="50">
        <f>C3*$B$13</f>
        <v>0</v>
      </c>
      <c r="D13" s="50">
        <f>D3*$B$13</f>
        <v>3850.7039999999997</v>
      </c>
      <c r="E13" s="49">
        <f>E3*$B$13</f>
        <v>2493.92</v>
      </c>
      <c r="G13" s="22"/>
      <c r="H13" s="22"/>
    </row>
    <row r="14" spans="1:11" ht="14.5" x14ac:dyDescent="0.3">
      <c r="A14" s="40" t="s">
        <v>7</v>
      </c>
      <c r="B14" s="11">
        <f>'TNEB Charges'!B8</f>
        <v>1</v>
      </c>
      <c r="C14" s="49">
        <f>C3*$B$14</f>
        <v>0</v>
      </c>
      <c r="D14" s="49">
        <f>D3*$B$14</f>
        <v>8.4149999999999991</v>
      </c>
      <c r="E14" s="49">
        <f>E3*$B$14</f>
        <v>5.45</v>
      </c>
      <c r="G14" s="22"/>
      <c r="H14" s="22"/>
    </row>
    <row r="15" spans="1:11" ht="14.5" x14ac:dyDescent="0.3">
      <c r="A15" s="40" t="s">
        <v>8</v>
      </c>
      <c r="B15" s="11">
        <f>'TNEB Charges'!B9</f>
        <v>260</v>
      </c>
      <c r="C15" s="50">
        <f>C3*$B$15</f>
        <v>0</v>
      </c>
      <c r="D15" s="50">
        <f>D3*$B$15</f>
        <v>2187.8999999999996</v>
      </c>
      <c r="E15" s="49">
        <f>E3*$B$15</f>
        <v>1417</v>
      </c>
      <c r="G15" s="22"/>
      <c r="H15" s="22"/>
    </row>
    <row r="16" spans="1:11" ht="14.5" x14ac:dyDescent="0.3">
      <c r="A16" s="40" t="s">
        <v>9</v>
      </c>
      <c r="B16" s="11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11">
        <f>'TNEB Charges'!B11</f>
        <v>33.74</v>
      </c>
      <c r="C17" s="49">
        <f>C3*$B$17/24</f>
        <v>0</v>
      </c>
      <c r="D17" s="49">
        <f>D3*$B$17/24</f>
        <v>11.830087499999999</v>
      </c>
      <c r="E17" s="49">
        <f>E3*$B$17/24</f>
        <v>7.6617916666666668</v>
      </c>
      <c r="G17" s="22"/>
      <c r="H17" s="22"/>
    </row>
    <row r="18" spans="1:15" ht="14.5" x14ac:dyDescent="0.3">
      <c r="A18" s="40" t="s">
        <v>55</v>
      </c>
      <c r="B18" s="11">
        <f>'TNEB Charges'!B12</f>
        <v>0.02</v>
      </c>
      <c r="C18" s="49">
        <f>C3*$B$18*1000</f>
        <v>0</v>
      </c>
      <c r="D18" s="49">
        <f>D3*$B$18*1000</f>
        <v>168.29999999999998</v>
      </c>
      <c r="E18" s="49">
        <f>E3*$B$18*1000</f>
        <v>109</v>
      </c>
      <c r="G18" s="22"/>
      <c r="H18" s="22"/>
    </row>
    <row r="19" spans="1:15" ht="14.5" x14ac:dyDescent="0.3">
      <c r="A19" s="40" t="s">
        <v>2</v>
      </c>
      <c r="B19" s="11">
        <f>'TNEB Charges'!B13</f>
        <v>1.99</v>
      </c>
      <c r="C19" s="49">
        <f>C9*$B$19</f>
        <v>0</v>
      </c>
      <c r="D19" s="49">
        <f>D9*$B$19</f>
        <v>15456.227266949585</v>
      </c>
      <c r="E19" s="49">
        <f>E9*$B$19</f>
        <v>10010.271967305434</v>
      </c>
      <c r="G19" s="22"/>
      <c r="H19" s="22"/>
    </row>
    <row r="20" spans="1:15" ht="14.5" x14ac:dyDescent="0.3">
      <c r="A20" s="40" t="s">
        <v>3</v>
      </c>
      <c r="B20" s="11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11">
        <f>'TNEB Charges'!B15</f>
        <v>1.04</v>
      </c>
      <c r="C21" s="49">
        <f>C8*$B$21</f>
        <v>0</v>
      </c>
      <c r="D21" s="49">
        <f>D8*$B$21</f>
        <v>8077.6263103656129</v>
      </c>
      <c r="E21" s="49">
        <f>E8*$B$21</f>
        <v>5231.4989175867604</v>
      </c>
      <c r="G21" s="22"/>
      <c r="H21" s="22"/>
    </row>
    <row r="22" spans="1:15" ht="14.5" x14ac:dyDescent="0.3">
      <c r="A22" s="40" t="s">
        <v>43</v>
      </c>
      <c r="B22" s="11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11">
        <f>'TNEB Charges'!B17</f>
        <v>0.12</v>
      </c>
      <c r="C23" s="50">
        <v>0</v>
      </c>
      <c r="D23" s="50">
        <f>D9*$B$23*10.5%</f>
        <v>97.863549529429534</v>
      </c>
      <c r="E23" s="49">
        <f>E9*$B$23*10.5%</f>
        <v>63.381621501531896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97.863549529429534</v>
      </c>
      <c r="E24" s="55">
        <f>E9*$B$24*10.5%</f>
        <v>63.381621501531896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30333.933763874058</v>
      </c>
      <c r="E25" s="59">
        <f>SUM(E11:E24)</f>
        <v>19713.075919561925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3.9055150488883057</v>
      </c>
      <c r="E26" s="58">
        <f>E25/E9</f>
        <v>3.9188766507098105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64070.831663874065</v>
      </c>
      <c r="E27" s="14">
        <f>E4+E25</f>
        <v>42474.055919561928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8.249164094768954</v>
      </c>
      <c r="E28" s="16">
        <f>E27/E9</f>
        <v>8.4436638241188806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0</v>
      </c>
      <c r="D33" s="23">
        <f>M39+M46+M53</f>
        <v>0</v>
      </c>
      <c r="E33" s="3">
        <f>D33*B33</f>
        <v>0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7500</v>
      </c>
      <c r="D34" s="13">
        <f>M41+M48+M55</f>
        <v>6922.4138817750008</v>
      </c>
      <c r="E34" s="3">
        <f>D34*B34</f>
        <v>77228.179868552354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3625</v>
      </c>
      <c r="D35" s="13">
        <f>M38+M40+M45+M47+M52+M54</f>
        <v>3345.83337619125</v>
      </c>
      <c r="E35" s="3">
        <f>D35*B35</f>
        <v>29861.562882506907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2740</v>
      </c>
      <c r="D36" s="13">
        <f>M37+M42+M44+M49+M51+M56</f>
        <v>2528.9885381417998</v>
      </c>
      <c r="E36" s="13">
        <f>D36*B36</f>
        <v>21442.661567769785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13865</v>
      </c>
      <c r="D37" s="12">
        <f>SUM(D33:D36)</f>
        <v>12797.235796108049</v>
      </c>
      <c r="E37" s="10">
        <f>SUM(E33:E36)</f>
        <v>128532.40431882905</v>
      </c>
      <c r="F37" s="23"/>
      <c r="G37" s="22"/>
      <c r="H37" s="14" t="s">
        <v>32</v>
      </c>
      <c r="I37" s="37">
        <f>SUM('Energy Schedule'!U7:U26)/4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Schedule'!U27:U30)/4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Schedule'!U31:U46)/4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Schedule'!U47:U78)/4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9">
        <f>SUM('Energy Schedule'!U79:U94)/4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13865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Schedule'!U95:U102)/4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12797.235796108049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106544.88758343599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Schedule'!V7:V26)/4</f>
        <v>2.5</v>
      </c>
      <c r="J44" s="14">
        <f t="shared" si="4"/>
        <v>2500</v>
      </c>
      <c r="K44" s="14">
        <f>J44-(J44*$B$6)</f>
        <v>2409.75</v>
      </c>
      <c r="L44" s="14">
        <f t="shared" si="6"/>
        <v>2353.3618499999998</v>
      </c>
      <c r="M44" s="14">
        <f t="shared" si="7"/>
        <v>2307.4712939249998</v>
      </c>
    </row>
    <row r="45" spans="1:15" ht="14.5" x14ac:dyDescent="0.3">
      <c r="A45" s="47" t="s">
        <v>158</v>
      </c>
      <c r="B45" s="16">
        <f>B44/B43</f>
        <v>8.3256172880583232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Schedule'!V27:V30)/4</f>
        <v>0.375</v>
      </c>
      <c r="J45" s="14">
        <f t="shared" si="4"/>
        <v>375</v>
      </c>
      <c r="K45" s="14">
        <f t="shared" si="5"/>
        <v>361.46249999999998</v>
      </c>
      <c r="L45" s="14">
        <f t="shared" si="6"/>
        <v>353.0042775</v>
      </c>
      <c r="M45" s="14">
        <f t="shared" si="7"/>
        <v>346.12069408874999</v>
      </c>
    </row>
    <row r="46" spans="1:15" ht="14.5" x14ac:dyDescent="0.3">
      <c r="A46" s="47" t="s">
        <v>18</v>
      </c>
      <c r="B46" s="7">
        <f>E37</f>
        <v>128532.40431882905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Schedule'!V31:V46)/4</f>
        <v>0</v>
      </c>
      <c r="J46" s="14">
        <f t="shared" si="4"/>
        <v>0</v>
      </c>
      <c r="K46" s="14">
        <f t="shared" si="5"/>
        <v>0</v>
      </c>
      <c r="L46" s="14">
        <f t="shared" si="6"/>
        <v>0</v>
      </c>
      <c r="M46" s="14">
        <f t="shared" si="7"/>
        <v>0</v>
      </c>
    </row>
    <row r="47" spans="1:15" ht="14.5" x14ac:dyDescent="0.3">
      <c r="A47" s="47" t="s">
        <v>159</v>
      </c>
      <c r="B47" s="46">
        <f>B46/B43</f>
        <v>10.043763072484676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Schedule'!V47:V78)/4</f>
        <v>2.5</v>
      </c>
      <c r="J47" s="14">
        <f t="shared" si="4"/>
        <v>2500</v>
      </c>
      <c r="K47" s="14">
        <f t="shared" si="5"/>
        <v>2409.75</v>
      </c>
      <c r="L47" s="14">
        <f t="shared" si="6"/>
        <v>2353.3618499999998</v>
      </c>
      <c r="M47" s="14">
        <f t="shared" si="7"/>
        <v>2307.4712939249998</v>
      </c>
    </row>
    <row r="48" spans="1:15" ht="14.5" x14ac:dyDescent="0.3">
      <c r="A48" s="47" t="s">
        <v>19</v>
      </c>
      <c r="B48" s="7">
        <f>B46-B44</f>
        <v>21987.516735393059</v>
      </c>
      <c r="G48" s="22"/>
      <c r="H48" s="14" t="s">
        <v>29</v>
      </c>
      <c r="I48" s="39">
        <f>SUM('Energy Schedule'!V79:V94)/4</f>
        <v>3</v>
      </c>
      <c r="J48" s="14">
        <f t="shared" si="4"/>
        <v>3000</v>
      </c>
      <c r="K48" s="14">
        <f t="shared" si="5"/>
        <v>2891.7</v>
      </c>
      <c r="L48" s="14">
        <f t="shared" si="6"/>
        <v>2824.03422</v>
      </c>
      <c r="M48" s="14">
        <f t="shared" si="7"/>
        <v>2768.9655527099999</v>
      </c>
    </row>
    <row r="49" spans="1:13" ht="14.5" x14ac:dyDescent="0.3">
      <c r="A49" s="47" t="s">
        <v>160</v>
      </c>
      <c r="B49" s="46">
        <f>B47-B45</f>
        <v>1.718145784426353</v>
      </c>
      <c r="G49" s="22"/>
      <c r="H49" s="14" t="s">
        <v>32</v>
      </c>
      <c r="I49" s="37">
        <f>SUM('Energy Schedule'!V95:V102)/4</f>
        <v>0.04</v>
      </c>
      <c r="J49" s="14">
        <f t="shared" si="4"/>
        <v>40</v>
      </c>
      <c r="K49" s="14">
        <f t="shared" si="5"/>
        <v>38.555999999999997</v>
      </c>
      <c r="L49" s="14">
        <f t="shared" si="6"/>
        <v>37.653789599999996</v>
      </c>
      <c r="M49" s="14">
        <f t="shared" si="7"/>
        <v>36.919540702799999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Schedule'!W7:W26)/4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Schedule'!W27:W30)/4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Schedule'!W31:W46)/4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Schedule'!W47:W78)/4</f>
        <v>0.75</v>
      </c>
      <c r="J54" s="14">
        <f t="shared" si="4"/>
        <v>750</v>
      </c>
      <c r="K54" s="14">
        <f t="shared" si="5"/>
        <v>722.92499999999995</v>
      </c>
      <c r="L54" s="14">
        <f t="shared" si="6"/>
        <v>706.008555</v>
      </c>
      <c r="M54" s="14">
        <f t="shared" si="7"/>
        <v>692.24138817749997</v>
      </c>
    </row>
    <row r="55" spans="1:13" s="8" customFormat="1" ht="14.5" x14ac:dyDescent="0.3">
      <c r="G55" s="22"/>
      <c r="H55" s="14" t="s">
        <v>29</v>
      </c>
      <c r="I55" s="39">
        <f>SUM('Energy Schedule'!W79:W94)/4</f>
        <v>4.5</v>
      </c>
      <c r="J55" s="14">
        <f t="shared" si="4"/>
        <v>4500</v>
      </c>
      <c r="K55" s="14">
        <f t="shared" si="5"/>
        <v>4337.55</v>
      </c>
      <c r="L55" s="14">
        <f t="shared" si="6"/>
        <v>4236.0513300000002</v>
      </c>
      <c r="M55" s="14">
        <f t="shared" si="7"/>
        <v>4153.4483290650005</v>
      </c>
    </row>
    <row r="56" spans="1:13" s="8" customFormat="1" ht="14.5" x14ac:dyDescent="0.3">
      <c r="G56" s="22"/>
      <c r="H56" s="14" t="s">
        <v>32</v>
      </c>
      <c r="I56" s="37">
        <f>SUM('Energy Schedule'!W95:W102)/4</f>
        <v>0.2</v>
      </c>
      <c r="J56" s="14">
        <f t="shared" si="4"/>
        <v>200</v>
      </c>
      <c r="K56" s="14">
        <f t="shared" si="5"/>
        <v>192.78</v>
      </c>
      <c r="L56" s="14">
        <f t="shared" si="6"/>
        <v>188.26894799999999</v>
      </c>
      <c r="M56" s="14">
        <f t="shared" si="7"/>
        <v>184.59770351399999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8DB8-EA83-4C69-A310-297A36FB342B}">
  <dimension ref="A2:O222"/>
  <sheetViews>
    <sheetView zoomScale="80" zoomScaleNormal="80" workbookViewId="0">
      <selection activeCell="B7" sqref="B7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Schedule'!X$103</f>
        <v>0</v>
      </c>
      <c r="D3" s="33">
        <f>'Energy Schedule'!Y$103</f>
        <v>12</v>
      </c>
      <c r="E3" s="33">
        <f>'Energy Schedule'!Z$103</f>
        <v>7</v>
      </c>
      <c r="G3" s="22"/>
      <c r="H3" s="22"/>
    </row>
    <row r="4" spans="1:11" ht="14.5" x14ac:dyDescent="0.3">
      <c r="A4" s="31" t="s">
        <v>10</v>
      </c>
      <c r="B4" s="32"/>
      <c r="C4" s="34">
        <f>'Energy Schedule'!X$5</f>
        <v>0</v>
      </c>
      <c r="D4" s="34">
        <f>'Energy Schedule'!Y$5</f>
        <v>51549.744200000001</v>
      </c>
      <c r="E4" s="34">
        <f>'Energy Schedule'!Z$5</f>
        <v>32714.22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12000</v>
      </c>
      <c r="E5" s="48">
        <f t="shared" si="0"/>
        <v>7000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Schedule'!Y3</f>
        <v>3.61E-2</v>
      </c>
      <c r="C6" s="49">
        <f>C5-(C5*$B$6)</f>
        <v>0</v>
      </c>
      <c r="D6" s="49">
        <f>D5-(D5*$B$6)</f>
        <v>11566.8</v>
      </c>
      <c r="E6" s="49">
        <f>E5-(E5*$B$6)</f>
        <v>6747.3</v>
      </c>
      <c r="G6" s="22"/>
      <c r="H6" s="62" t="s">
        <v>28</v>
      </c>
      <c r="I6" s="76">
        <f>D33</f>
        <v>0</v>
      </c>
      <c r="J6" s="1">
        <f>'Consumption Details'!$B10</f>
        <v>1800</v>
      </c>
      <c r="K6" s="14">
        <f>J6-I6</f>
        <v>1800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11296.13688</v>
      </c>
      <c r="E7" s="49">
        <f>E6-(E6*$B$7)</f>
        <v>6589.4131800000005</v>
      </c>
      <c r="G7" s="22"/>
      <c r="H7" s="62" t="s">
        <v>29</v>
      </c>
      <c r="I7" s="76">
        <f t="shared" ref="I7:I9" si="1">D34</f>
        <v>9691.3794344849994</v>
      </c>
      <c r="J7" s="1">
        <f>'Consumption Details'!$C10</f>
        <v>9100</v>
      </c>
      <c r="K7" s="14">
        <f t="shared" ref="K7:K9" si="2">J7-I7</f>
        <v>-591.37943448499936</v>
      </c>
    </row>
    <row r="8" spans="1:11" ht="14.5" x14ac:dyDescent="0.3">
      <c r="A8" s="40" t="s">
        <v>49</v>
      </c>
      <c r="B8" s="67">
        <f>'TNEB Charges'!B2</f>
        <v>1.95E-2</v>
      </c>
      <c r="C8" s="49">
        <f>C7-(C7*$B$8)</f>
        <v>0</v>
      </c>
      <c r="D8" s="49">
        <f>D7-(D7*$B$8)</f>
        <v>11075.86221084</v>
      </c>
      <c r="E8" s="49">
        <f>E7-(E7*$B$8)</f>
        <v>6460.9196229900008</v>
      </c>
      <c r="G8" s="22"/>
      <c r="H8" s="62" t="s">
        <v>31</v>
      </c>
      <c r="I8" s="76">
        <f t="shared" si="1"/>
        <v>5191.8104113312493</v>
      </c>
      <c r="J8" s="1">
        <f>'Consumption Details'!$D10</f>
        <v>17800</v>
      </c>
      <c r="K8" s="14">
        <f t="shared" si="2"/>
        <v>12608.189588668751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11075.86221084</v>
      </c>
      <c r="E9" s="49">
        <f>E8</f>
        <v>6460.9196229900008</v>
      </c>
      <c r="G9" s="22"/>
      <c r="H9" s="62" t="s">
        <v>32</v>
      </c>
      <c r="I9" s="76">
        <f t="shared" si="1"/>
        <v>2653.5919880137499</v>
      </c>
      <c r="J9" s="1">
        <f>'Consumption Details'!$E10</f>
        <v>3400</v>
      </c>
      <c r="K9" s="14">
        <f t="shared" si="2"/>
        <v>746.40801198625013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4.6542421004071377</v>
      </c>
      <c r="E10" s="49">
        <f>E4/E9</f>
        <v>5.063399935141188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283.2</v>
      </c>
      <c r="E11" s="49">
        <f>(E3*1000*$B$11)+(E3*1000*$B$11*18%)</f>
        <v>165.2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Schedule'!X$6</f>
        <v>0</v>
      </c>
      <c r="D12" s="34">
        <f>'Energy Schedule'!Y$6</f>
        <v>8.61</v>
      </c>
      <c r="E12" s="34">
        <f>'Energy Schedule'!Z$6</f>
        <v>12.53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5491.2000000000007</v>
      </c>
      <c r="E13" s="49">
        <f>E3*$B$13</f>
        <v>3203.2000000000003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12</v>
      </c>
      <c r="E14" s="49">
        <f>E3*$B$14</f>
        <v>7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3120</v>
      </c>
      <c r="E15" s="49">
        <f>E3*$B$15</f>
        <v>1820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16.87</v>
      </c>
      <c r="E17" s="49">
        <f>E3*$B$17/24</f>
        <v>9.8408333333333342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240</v>
      </c>
      <c r="E18" s="49">
        <f>E3*$B$18*1000</f>
        <v>140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22040.965799571601</v>
      </c>
      <c r="E19" s="49">
        <f>E9*$B$19</f>
        <v>12857.230049750102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11518.8966992736</v>
      </c>
      <c r="E21" s="49">
        <f>E8*$B$21</f>
        <v>6719.3564079096013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139.55586385658398</v>
      </c>
      <c r="E23" s="49">
        <f>E9*$B$23*10.5%</f>
        <v>81.407587249673995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139.55586385658398</v>
      </c>
      <c r="E24" s="55">
        <f>E9*$B$24*10.5%</f>
        <v>81.407587249673995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43180.854226558375</v>
      </c>
      <c r="E25" s="59">
        <f>SUM(E11:E24)</f>
        <v>25267.172465492382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3.8986449456094774</v>
      </c>
      <c r="E26" s="58">
        <f>E25/E9</f>
        <v>3.9107702834723046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94730.598426558368</v>
      </c>
      <c r="E27" s="14">
        <f>E4+E25</f>
        <v>57981.392465492383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8.5528870460166146</v>
      </c>
      <c r="E28" s="16">
        <f>E27/E9</f>
        <v>8.9741702186134926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0</v>
      </c>
      <c r="D33" s="23">
        <f>M39+M46+M53</f>
        <v>0</v>
      </c>
      <c r="E33" s="3">
        <f>D33*B33</f>
        <v>0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10500</v>
      </c>
      <c r="D34" s="13">
        <f>M41+M48+M55</f>
        <v>9691.3794344849994</v>
      </c>
      <c r="E34" s="3">
        <f>D34*B34</f>
        <v>108119.45181597327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5625</v>
      </c>
      <c r="D35" s="13">
        <f>M38+M40+M45+M47+M52+M54</f>
        <v>5191.8104113312493</v>
      </c>
      <c r="E35" s="3">
        <f>D35*B35</f>
        <v>46336.907921131402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2875</v>
      </c>
      <c r="D36" s="13">
        <f>M37+M42+M44+M49+M51+M56</f>
        <v>2653.5919880137499</v>
      </c>
      <c r="E36" s="13">
        <f>D36*B36</f>
        <v>22499.143068371581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19000</v>
      </c>
      <c r="D37" s="12">
        <f>SUM(D33:D36)</f>
        <v>17536.781833829999</v>
      </c>
      <c r="E37" s="10">
        <f>SUM(E33:E36)</f>
        <v>176955.50280547625</v>
      </c>
      <c r="F37" s="23"/>
      <c r="G37" s="22"/>
      <c r="H37" s="14" t="s">
        <v>32</v>
      </c>
      <c r="I37" s="37">
        <f>SUM('Energy Schedule'!X7:X26)/4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Schedule'!X27:X30)/4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Schedule'!X31:X46)/4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Schedule'!X47:X78)/4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9">
        <f>SUM('Energy Schedule'!X79:X94)/4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19000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Schedule'!X95:X102)/4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17536.781833829999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152711.99089205076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Schedule'!Y7:Y26)/4</f>
        <v>2.5</v>
      </c>
      <c r="J44" s="14">
        <f t="shared" si="4"/>
        <v>2500</v>
      </c>
      <c r="K44" s="14">
        <f>J44-(J44*$B$6)</f>
        <v>2409.75</v>
      </c>
      <c r="L44" s="14">
        <f t="shared" si="6"/>
        <v>2353.3618499999998</v>
      </c>
      <c r="M44" s="14">
        <f t="shared" si="7"/>
        <v>2307.4712939249998</v>
      </c>
    </row>
    <row r="45" spans="1:15" ht="14.5" x14ac:dyDescent="0.3">
      <c r="A45" s="47" t="s">
        <v>158</v>
      </c>
      <c r="B45" s="4">
        <f>B44/B43</f>
        <v>8.7080966359207288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Schedule'!Y27:Y30)/4</f>
        <v>0.375</v>
      </c>
      <c r="J45" s="14">
        <f t="shared" si="4"/>
        <v>375</v>
      </c>
      <c r="K45" s="14">
        <f t="shared" si="5"/>
        <v>361.46249999999998</v>
      </c>
      <c r="L45" s="14">
        <f t="shared" si="6"/>
        <v>353.0042775</v>
      </c>
      <c r="M45" s="14">
        <f t="shared" si="7"/>
        <v>346.12069408874999</v>
      </c>
    </row>
    <row r="46" spans="1:15" ht="14.5" x14ac:dyDescent="0.3">
      <c r="A46" s="47" t="s">
        <v>18</v>
      </c>
      <c r="B46" s="7">
        <f>E37</f>
        <v>176955.50280547625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Schedule'!Y31:Y46)/4</f>
        <v>0</v>
      </c>
      <c r="J46" s="14">
        <f t="shared" si="4"/>
        <v>0</v>
      </c>
      <c r="K46" s="14">
        <f t="shared" si="5"/>
        <v>0</v>
      </c>
      <c r="L46" s="14">
        <f t="shared" si="6"/>
        <v>0</v>
      </c>
      <c r="M46" s="14">
        <f t="shared" si="7"/>
        <v>0</v>
      </c>
    </row>
    <row r="47" spans="1:15" ht="14.5" x14ac:dyDescent="0.3">
      <c r="A47" s="47" t="s">
        <v>159</v>
      </c>
      <c r="B47" s="46">
        <f>B46/B43</f>
        <v>10.090534539473683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Schedule'!Y47:Y78)/4</f>
        <v>2</v>
      </c>
      <c r="J47" s="14">
        <f t="shared" si="4"/>
        <v>2000</v>
      </c>
      <c r="K47" s="14">
        <f t="shared" si="5"/>
        <v>1927.8</v>
      </c>
      <c r="L47" s="14">
        <f t="shared" si="6"/>
        <v>1882.68948</v>
      </c>
      <c r="M47" s="14">
        <f t="shared" si="7"/>
        <v>1845.97703514</v>
      </c>
    </row>
    <row r="48" spans="1:15" ht="14.5" x14ac:dyDescent="0.3">
      <c r="A48" s="47" t="s">
        <v>19</v>
      </c>
      <c r="B48" s="7">
        <f>B46-B44</f>
        <v>24243.511913425493</v>
      </c>
      <c r="G48" s="22"/>
      <c r="H48" s="14" t="s">
        <v>29</v>
      </c>
      <c r="I48" s="39">
        <f>SUM('Energy Schedule'!Y79:Y94)/4</f>
        <v>6.75</v>
      </c>
      <c r="J48" s="14">
        <f t="shared" si="4"/>
        <v>6750</v>
      </c>
      <c r="K48" s="14">
        <f t="shared" si="5"/>
        <v>6506.3249999999998</v>
      </c>
      <c r="L48" s="14">
        <f t="shared" si="6"/>
        <v>6354.0769949999994</v>
      </c>
      <c r="M48" s="14">
        <f t="shared" si="7"/>
        <v>6230.1724935974999</v>
      </c>
    </row>
    <row r="49" spans="1:13" ht="14.5" x14ac:dyDescent="0.3">
      <c r="A49" s="47" t="s">
        <v>160</v>
      </c>
      <c r="B49" s="46">
        <f>B47-B45</f>
        <v>1.3824379035529546</v>
      </c>
      <c r="G49" s="22"/>
      <c r="H49" s="14" t="s">
        <v>32</v>
      </c>
      <c r="I49" s="37">
        <f>SUM('Energy Schedule'!Y95:Y102)/4</f>
        <v>0.375</v>
      </c>
      <c r="J49" s="14">
        <f t="shared" si="4"/>
        <v>375</v>
      </c>
      <c r="K49" s="14">
        <f t="shared" si="5"/>
        <v>361.46249999999998</v>
      </c>
      <c r="L49" s="14">
        <f t="shared" si="6"/>
        <v>353.0042775</v>
      </c>
      <c r="M49" s="14">
        <f t="shared" si="7"/>
        <v>346.12069408874999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Schedule'!Z7:Z26)/4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Schedule'!Z27:Z30)/4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Schedule'!Z31:Z46)/4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Schedule'!Z47:Z78)/4</f>
        <v>3.25</v>
      </c>
      <c r="J54" s="14">
        <f t="shared" si="4"/>
        <v>3250</v>
      </c>
      <c r="K54" s="14">
        <f t="shared" si="5"/>
        <v>3132.6750000000002</v>
      </c>
      <c r="L54" s="14">
        <f t="shared" si="6"/>
        <v>3059.3704050000001</v>
      </c>
      <c r="M54" s="14">
        <f t="shared" si="7"/>
        <v>2999.7126821024999</v>
      </c>
    </row>
    <row r="55" spans="1:13" s="8" customFormat="1" ht="14.5" x14ac:dyDescent="0.3">
      <c r="G55" s="22"/>
      <c r="H55" s="14" t="s">
        <v>29</v>
      </c>
      <c r="I55" s="39">
        <f>SUM('Energy Schedule'!Z79:Z94)/4</f>
        <v>3.75</v>
      </c>
      <c r="J55" s="14">
        <f t="shared" si="4"/>
        <v>3750</v>
      </c>
      <c r="K55" s="14">
        <f t="shared" si="5"/>
        <v>3614.625</v>
      </c>
      <c r="L55" s="14">
        <f t="shared" si="6"/>
        <v>3530.0427749999999</v>
      </c>
      <c r="M55" s="14">
        <f t="shared" si="7"/>
        <v>3461.2069408875</v>
      </c>
    </row>
    <row r="56" spans="1:13" s="8" customFormat="1" ht="14.5" x14ac:dyDescent="0.3">
      <c r="G56" s="22"/>
      <c r="H56" s="14" t="s">
        <v>32</v>
      </c>
      <c r="I56" s="37">
        <f>SUM('Energy Schedule'!Z95:Z102)/4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A5D8-F9E6-4CC8-B1FF-E202A604E8EA}">
  <dimension ref="A2:O222"/>
  <sheetViews>
    <sheetView zoomScale="80" zoomScaleNormal="80" workbookViewId="0">
      <selection activeCell="B7" sqref="B7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Schedule'!AA$103</f>
        <v>0</v>
      </c>
      <c r="D3" s="33">
        <f>'Energy Schedule'!AB$103</f>
        <v>13.375</v>
      </c>
      <c r="E3" s="33">
        <f>'Energy Schedule'!AC$103</f>
        <v>6.5750000000000002</v>
      </c>
      <c r="G3" s="22"/>
      <c r="H3" s="22"/>
    </row>
    <row r="4" spans="1:11" ht="14.5" x14ac:dyDescent="0.3">
      <c r="A4" s="31" t="s">
        <v>10</v>
      </c>
      <c r="B4" s="32"/>
      <c r="C4" s="34">
        <f>'Energy Schedule'!AA$5</f>
        <v>0</v>
      </c>
      <c r="D4" s="34">
        <f>'Energy Schedule'!AB$5</f>
        <v>55906.486799999999</v>
      </c>
      <c r="E4" s="34">
        <f>'Energy Schedule'!AC$5</f>
        <v>28235.38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13375</v>
      </c>
      <c r="E5" s="48">
        <f t="shared" si="0"/>
        <v>6575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Schedule'!AB3</f>
        <v>3.61E-2</v>
      </c>
      <c r="C6" s="49">
        <f>C5-(C5*$B$6)</f>
        <v>0</v>
      </c>
      <c r="D6" s="49">
        <f>D5-(D5*$B$6)</f>
        <v>12892.1625</v>
      </c>
      <c r="E6" s="49">
        <f>E5-(E5*$B$6)</f>
        <v>6337.6424999999999</v>
      </c>
      <c r="G6" s="22"/>
      <c r="H6" s="62" t="s">
        <v>28</v>
      </c>
      <c r="I6" s="76">
        <f>D33</f>
        <v>0</v>
      </c>
      <c r="J6" s="1">
        <f>'Consumption Details'!$B11</f>
        <v>1550</v>
      </c>
      <c r="K6" s="14">
        <f>J6-I6</f>
        <v>1550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12590.485897500001</v>
      </c>
      <c r="E7" s="49">
        <f>E6-(E6*$B$7)</f>
        <v>6189.3416655000001</v>
      </c>
      <c r="G7" s="22"/>
      <c r="H7" s="62" t="s">
        <v>29</v>
      </c>
      <c r="I7" s="76">
        <f t="shared" ref="I7:I9" si="1">D34</f>
        <v>10383.6208226625</v>
      </c>
      <c r="J7" s="1">
        <f>'Consumption Details'!$C11</f>
        <v>8950</v>
      </c>
      <c r="K7" s="14">
        <f t="shared" ref="K7:K9" si="2">J7-I7</f>
        <v>-1433.6208226625004</v>
      </c>
    </row>
    <row r="8" spans="1:11" ht="14.5" x14ac:dyDescent="0.3">
      <c r="A8" s="40" t="s">
        <v>49</v>
      </c>
      <c r="B8" s="67">
        <f>'TNEB Charges'!B2</f>
        <v>1.95E-2</v>
      </c>
      <c r="C8" s="49">
        <f>C7-(C7*$B$8)</f>
        <v>0</v>
      </c>
      <c r="D8" s="49">
        <f>D7-(D7*$B$8)</f>
        <v>12344.971422498751</v>
      </c>
      <c r="E8" s="49">
        <f>E7-(E7*$B$8)</f>
        <v>6068.6495030227497</v>
      </c>
      <c r="G8" s="22"/>
      <c r="H8" s="62" t="s">
        <v>31</v>
      </c>
      <c r="I8" s="76">
        <f t="shared" si="1"/>
        <v>5145.6609854527496</v>
      </c>
      <c r="J8" s="1">
        <f>'Consumption Details'!$D11</f>
        <v>18050</v>
      </c>
      <c r="K8" s="14">
        <f t="shared" si="2"/>
        <v>12904.339014547251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12344.971422498751</v>
      </c>
      <c r="E9" s="49">
        <f>E8</f>
        <v>6068.6495030227497</v>
      </c>
      <c r="G9" s="22"/>
      <c r="H9" s="62" t="s">
        <v>32</v>
      </c>
      <c r="I9" s="76">
        <f t="shared" si="1"/>
        <v>2884.3391174062499</v>
      </c>
      <c r="J9" s="1">
        <f>'Consumption Details'!$E11</f>
        <v>3550</v>
      </c>
      <c r="K9" s="14">
        <f t="shared" si="2"/>
        <v>665.6608825937501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4.5286849913731064</v>
      </c>
      <c r="E10" s="49">
        <f>E4/E9</f>
        <v>4.6526628347766934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315.64999999999998</v>
      </c>
      <c r="E11" s="49">
        <f>(E3*1000*$B$11)+(E3*1000*$B$11*18%)</f>
        <v>155.16999999999999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Schedule'!AA$6</f>
        <v>0</v>
      </c>
      <c r="D12" s="34">
        <f>'Energy Schedule'!AB$6</f>
        <v>8.2799999999999994</v>
      </c>
      <c r="E12" s="34">
        <f>'Energy Schedule'!AC$6</f>
        <v>12.32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6120.4000000000005</v>
      </c>
      <c r="E13" s="49">
        <f>E3*$B$13</f>
        <v>3008.7200000000003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13.375</v>
      </c>
      <c r="E14" s="49">
        <f>E3*$B$14</f>
        <v>6.5750000000000002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3477.5</v>
      </c>
      <c r="E15" s="49">
        <f>E3*$B$15</f>
        <v>1709.5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18.803020833333335</v>
      </c>
      <c r="E17" s="49">
        <f>E3*$B$17/24</f>
        <v>9.2433541666666681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267.5</v>
      </c>
      <c r="E18" s="49">
        <f>E3*$B$18*1000</f>
        <v>131.5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24566.493130772513</v>
      </c>
      <c r="E19" s="49">
        <f>E9*$B$19</f>
        <v>12076.612511015272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12838.770279398701</v>
      </c>
      <c r="E21" s="49">
        <f>E8*$B$21</f>
        <v>6311.3954831436604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155.54663992348426</v>
      </c>
      <c r="E23" s="49">
        <f>E9*$B$23*10.5%</f>
        <v>76.46498373808663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155.54663992348426</v>
      </c>
      <c r="E24" s="55">
        <f>E9*$B$24*10.5%</f>
        <v>76.46498373808663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48107.864710851514</v>
      </c>
      <c r="E25" s="59">
        <f>SUM(E11:E24)</f>
        <v>23743.966315801768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3.8969603949973326</v>
      </c>
      <c r="E26" s="58">
        <f>E25/E9</f>
        <v>3.912561815272916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104014.35151085151</v>
      </c>
      <c r="E27" s="14">
        <f>E4+E25</f>
        <v>51979.346315801769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8.425645386370439</v>
      </c>
      <c r="E28" s="16">
        <f>E27/E9</f>
        <v>8.5652246500496094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0</v>
      </c>
      <c r="D33" s="23">
        <f>M39+M46+M53</f>
        <v>0</v>
      </c>
      <c r="E33" s="3">
        <f>D33*B33</f>
        <v>0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11250</v>
      </c>
      <c r="D34" s="13">
        <f>M41+M48+M55</f>
        <v>10383.6208226625</v>
      </c>
      <c r="E34" s="3">
        <f>D34*B34</f>
        <v>115842.26980282852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5575</v>
      </c>
      <c r="D35" s="13">
        <f>M38+M40+M45+M47+M52+M54</f>
        <v>5145.6609854527496</v>
      </c>
      <c r="E35" s="3">
        <f>D35*B35</f>
        <v>45925.024295165793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3125</v>
      </c>
      <c r="D36" s="13">
        <f>M37+M42+M44+M49+M51+M56</f>
        <v>2884.3391174062499</v>
      </c>
      <c r="E36" s="13">
        <f>D36*B36</f>
        <v>24455.590291708242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19950</v>
      </c>
      <c r="D37" s="12">
        <f>SUM(D33:D36)</f>
        <v>18413.6209255215</v>
      </c>
      <c r="E37" s="10">
        <f>SUM(E33:E36)</f>
        <v>186222.88438970255</v>
      </c>
      <c r="F37" s="23"/>
      <c r="G37" s="22"/>
      <c r="H37" s="14" t="s">
        <v>32</v>
      </c>
      <c r="I37" s="37">
        <f>SUM('Energy Schedule'!AA7:AA26)/4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Schedule'!AA27:AA30)/4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Schedule'!AA31:AA46)/4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Schedule'!AA47:AA78)/4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9">
        <f>SUM('Energy Schedule'!AA79:AA94)/4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19950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Schedule'!AA95:AA102)/4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18413.6209255215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155993.69782665328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Schedule'!AB7:AB26)/4</f>
        <v>2.5</v>
      </c>
      <c r="J44" s="14">
        <f t="shared" si="4"/>
        <v>2500</v>
      </c>
      <c r="K44" s="14">
        <f>J44-(J44*$B$6)</f>
        <v>2409.75</v>
      </c>
      <c r="L44" s="14">
        <f t="shared" si="6"/>
        <v>2353.3618499999998</v>
      </c>
      <c r="M44" s="14">
        <f t="shared" si="7"/>
        <v>2307.4712939249998</v>
      </c>
    </row>
    <row r="45" spans="1:15" ht="14.5" x14ac:dyDescent="0.3">
      <c r="A45" s="47" t="s">
        <v>158</v>
      </c>
      <c r="B45" s="16">
        <f>B44/B43</f>
        <v>8.4716470735228473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Schedule'!AB27:AB30)/4</f>
        <v>0.375</v>
      </c>
      <c r="J45" s="14">
        <f t="shared" si="4"/>
        <v>375</v>
      </c>
      <c r="K45" s="14">
        <f t="shared" si="5"/>
        <v>361.46249999999998</v>
      </c>
      <c r="L45" s="14">
        <f t="shared" si="6"/>
        <v>353.0042775</v>
      </c>
      <c r="M45" s="14">
        <f t="shared" si="7"/>
        <v>346.12069408874999</v>
      </c>
    </row>
    <row r="46" spans="1:15" ht="14.5" x14ac:dyDescent="0.3">
      <c r="A46" s="47" t="s">
        <v>18</v>
      </c>
      <c r="B46" s="7">
        <f>E37</f>
        <v>186222.88438970255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Schedule'!AB31:AB46)/4</f>
        <v>0</v>
      </c>
      <c r="J46" s="14">
        <f t="shared" si="4"/>
        <v>0</v>
      </c>
      <c r="K46" s="14">
        <f t="shared" si="5"/>
        <v>0</v>
      </c>
      <c r="L46" s="14">
        <f t="shared" si="6"/>
        <v>0</v>
      </c>
      <c r="M46" s="14">
        <f t="shared" si="7"/>
        <v>0</v>
      </c>
    </row>
    <row r="47" spans="1:15" ht="14.5" x14ac:dyDescent="0.3">
      <c r="A47" s="47" t="s">
        <v>159</v>
      </c>
      <c r="B47" s="46">
        <f>B46/B43</f>
        <v>10.113322368421052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Schedule'!AB47:AB78)/4</f>
        <v>2.5</v>
      </c>
      <c r="J47" s="14">
        <f t="shared" si="4"/>
        <v>2500</v>
      </c>
      <c r="K47" s="14">
        <f t="shared" si="5"/>
        <v>2409.75</v>
      </c>
      <c r="L47" s="14">
        <f t="shared" si="6"/>
        <v>2353.3618499999998</v>
      </c>
      <c r="M47" s="14">
        <f t="shared" si="7"/>
        <v>2307.4712939249998</v>
      </c>
    </row>
    <row r="48" spans="1:15" ht="14.5" x14ac:dyDescent="0.3">
      <c r="A48" s="47" t="s">
        <v>19</v>
      </c>
      <c r="B48" s="7">
        <f>B46-B44</f>
        <v>30229.186563049268</v>
      </c>
      <c r="G48" s="22"/>
      <c r="H48" s="14" t="s">
        <v>29</v>
      </c>
      <c r="I48" s="39">
        <f>SUM('Energy Schedule'!AB79:AB94)/4</f>
        <v>7.5</v>
      </c>
      <c r="J48" s="14">
        <f t="shared" si="4"/>
        <v>7500</v>
      </c>
      <c r="K48" s="14">
        <f t="shared" si="5"/>
        <v>7229.25</v>
      </c>
      <c r="L48" s="14">
        <f t="shared" si="6"/>
        <v>7060.0855499999998</v>
      </c>
      <c r="M48" s="14">
        <f t="shared" si="7"/>
        <v>6922.4138817749999</v>
      </c>
    </row>
    <row r="49" spans="1:13" ht="14.5" x14ac:dyDescent="0.3">
      <c r="A49" s="47" t="s">
        <v>160</v>
      </c>
      <c r="B49" s="46">
        <f>B47-B45</f>
        <v>1.6416752948982047</v>
      </c>
      <c r="G49" s="22"/>
      <c r="H49" s="14" t="s">
        <v>32</v>
      </c>
      <c r="I49" s="37">
        <f>SUM('Energy Schedule'!AB95:AB102)/4</f>
        <v>0.5</v>
      </c>
      <c r="J49" s="14">
        <f t="shared" si="4"/>
        <v>500</v>
      </c>
      <c r="K49" s="14">
        <f t="shared" si="5"/>
        <v>481.95</v>
      </c>
      <c r="L49" s="14">
        <f t="shared" si="6"/>
        <v>470.67237</v>
      </c>
      <c r="M49" s="14">
        <f t="shared" si="7"/>
        <v>461.494258785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Schedule'!AC7:AC26)/4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Schedule'!AC27:AC30)/4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Schedule'!AC31:AC46)/4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Schedule'!AC47:AC78)/4</f>
        <v>2.6999999999999997</v>
      </c>
      <c r="J54" s="14">
        <f t="shared" si="4"/>
        <v>2699.9999999999995</v>
      </c>
      <c r="K54" s="14">
        <f t="shared" si="5"/>
        <v>2602.5299999999997</v>
      </c>
      <c r="L54" s="14">
        <f t="shared" si="6"/>
        <v>2541.6307979999997</v>
      </c>
      <c r="M54" s="14">
        <f t="shared" si="7"/>
        <v>2492.0689974389998</v>
      </c>
    </row>
    <row r="55" spans="1:13" s="8" customFormat="1" ht="14.5" x14ac:dyDescent="0.3">
      <c r="G55" s="22"/>
      <c r="H55" s="14" t="s">
        <v>29</v>
      </c>
      <c r="I55" s="39">
        <f>SUM('Energy Schedule'!AC79:AC94)/4</f>
        <v>3.75</v>
      </c>
      <c r="J55" s="14">
        <f t="shared" si="4"/>
        <v>3750</v>
      </c>
      <c r="K55" s="14">
        <f t="shared" si="5"/>
        <v>3614.625</v>
      </c>
      <c r="L55" s="14">
        <f t="shared" si="6"/>
        <v>3530.0427749999999</v>
      </c>
      <c r="M55" s="14">
        <f t="shared" si="7"/>
        <v>3461.2069408875</v>
      </c>
    </row>
    <row r="56" spans="1:13" s="8" customFormat="1" ht="14.5" x14ac:dyDescent="0.3">
      <c r="G56" s="22"/>
      <c r="H56" s="14" t="s">
        <v>32</v>
      </c>
      <c r="I56" s="37">
        <f>SUM('Energy Schedule'!AC95:AC102)/4</f>
        <v>0.125</v>
      </c>
      <c r="J56" s="14">
        <f t="shared" si="4"/>
        <v>125</v>
      </c>
      <c r="K56" s="14">
        <f t="shared" si="5"/>
        <v>120.4875</v>
      </c>
      <c r="L56" s="14">
        <f t="shared" si="6"/>
        <v>117.6680925</v>
      </c>
      <c r="M56" s="14">
        <f t="shared" si="7"/>
        <v>115.37356469625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2:O222"/>
  <sheetViews>
    <sheetView zoomScale="80" zoomScaleNormal="80" workbookViewId="0">
      <selection activeCell="B7" sqref="B7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Schedule'!AD$103</f>
        <v>0</v>
      </c>
      <c r="D3" s="33">
        <f>'Energy Schedule'!AE$103</f>
        <v>17.125</v>
      </c>
      <c r="E3" s="33">
        <f>'Energy Schedule'!AF$103</f>
        <v>0</v>
      </c>
      <c r="G3" s="22"/>
      <c r="H3" s="22"/>
    </row>
    <row r="4" spans="1:11" ht="14.5" x14ac:dyDescent="0.3">
      <c r="A4" s="31" t="s">
        <v>10</v>
      </c>
      <c r="B4" s="32"/>
      <c r="C4" s="34">
        <f>'Energy Schedule'!AD$5</f>
        <v>0</v>
      </c>
      <c r="D4" s="34">
        <f>'Energy Schedule'!AE$5</f>
        <v>70274.660699999993</v>
      </c>
      <c r="E4" s="34">
        <f>'Energy Schedule'!AF$5</f>
        <v>0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17125</v>
      </c>
      <c r="E5" s="48">
        <f t="shared" si="0"/>
        <v>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Schedule'!AE3</f>
        <v>3.61E-2</v>
      </c>
      <c r="C6" s="49">
        <f>C5-(C5*$B$6)</f>
        <v>0</v>
      </c>
      <c r="D6" s="49">
        <f>D5-(D5*$B$6)</f>
        <v>16506.787499999999</v>
      </c>
      <c r="E6" s="49">
        <f>E5-(E5*$B$6)</f>
        <v>0</v>
      </c>
      <c r="G6" s="22"/>
      <c r="H6" s="62" t="s">
        <v>28</v>
      </c>
      <c r="I6" s="76">
        <f>D33</f>
        <v>230.7471293925</v>
      </c>
      <c r="J6" s="1">
        <f>'Consumption Details'!$B12</f>
        <v>2300</v>
      </c>
      <c r="K6" s="14">
        <f>J6-I6</f>
        <v>2069.2528706075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16120.528672499999</v>
      </c>
      <c r="E7" s="49">
        <f>E6-(E6*$B$7)</f>
        <v>0</v>
      </c>
      <c r="G7" s="22"/>
      <c r="H7" s="62" t="s">
        <v>29</v>
      </c>
      <c r="I7" s="76">
        <f t="shared" ref="I7:I9" si="1">D34</f>
        <v>8306.896658130001</v>
      </c>
      <c r="J7" s="1">
        <f>'Consumption Details'!$C12</f>
        <v>9350</v>
      </c>
      <c r="K7" s="14">
        <f t="shared" ref="K7:K9" si="2">J7-I7</f>
        <v>1043.103341869999</v>
      </c>
    </row>
    <row r="8" spans="1:11" ht="14.5" x14ac:dyDescent="0.3">
      <c r="A8" s="40" t="s">
        <v>49</v>
      </c>
      <c r="B8" s="67">
        <f>'TNEB Charges'!B2</f>
        <v>1.95E-2</v>
      </c>
      <c r="C8" s="49">
        <f>C7-(C7*$B$8)</f>
        <v>0</v>
      </c>
      <c r="D8" s="49">
        <f>D7-(D7*$B$8)</f>
        <v>15806.178363386249</v>
      </c>
      <c r="E8" s="49">
        <f>E7-(E7*$B$8)</f>
        <v>0</v>
      </c>
      <c r="G8" s="22"/>
      <c r="H8" s="62" t="s">
        <v>31</v>
      </c>
      <c r="I8" s="76">
        <f t="shared" si="1"/>
        <v>4153.4483290649996</v>
      </c>
      <c r="J8" s="1">
        <f>'Consumption Details'!$D12</f>
        <v>20250</v>
      </c>
      <c r="K8" s="14">
        <f t="shared" si="2"/>
        <v>16096.551670935001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15806.178363386249</v>
      </c>
      <c r="E9" s="49">
        <f>E8</f>
        <v>0</v>
      </c>
      <c r="G9" s="22"/>
      <c r="H9" s="62" t="s">
        <v>32</v>
      </c>
      <c r="I9" s="76">
        <f t="shared" si="1"/>
        <v>3115.0862467987499</v>
      </c>
      <c r="J9" s="1">
        <f>'Consumption Details'!$E12</f>
        <v>3650</v>
      </c>
      <c r="K9" s="14">
        <f t="shared" si="2"/>
        <v>534.91375320125007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4.4460247812200855</v>
      </c>
      <c r="E10" s="49" t="e">
        <f>E4/E9</f>
        <v>#DIV/0!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404.15</v>
      </c>
      <c r="E11" s="49">
        <f>(E3*1000*$B$11)+(E3*1000*$B$11*18%)</f>
        <v>0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Schedule'!AD$6</f>
        <v>0</v>
      </c>
      <c r="D12" s="34">
        <f>'Energy Schedule'!AE$6</f>
        <v>7.91</v>
      </c>
      <c r="E12" s="34">
        <f>'Energy Schedule'!AF$6</f>
        <v>0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7836.4000000000005</v>
      </c>
      <c r="E13" s="49">
        <f>E3*$B$13</f>
        <v>0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17.125</v>
      </c>
      <c r="E14" s="49">
        <f>E3*$B$14</f>
        <v>0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4452.5</v>
      </c>
      <c r="E15" s="49">
        <f>E3*$B$15</f>
        <v>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24.074895833333333</v>
      </c>
      <c r="E17" s="49">
        <f>E3*$B$17/24</f>
        <v>0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342.5</v>
      </c>
      <c r="E18" s="49">
        <f>E3*$B$18*1000</f>
        <v>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31454.294943138633</v>
      </c>
      <c r="E19" s="49">
        <f>E9*$B$19</f>
        <v>0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16438.4254979217</v>
      </c>
      <c r="E21" s="49">
        <f>E8*$B$21</f>
        <v>0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199.15784737866673</v>
      </c>
      <c r="E23" s="49">
        <f>E9*$B$23*10.5%</f>
        <v>0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199.15784737866673</v>
      </c>
      <c r="E24" s="55">
        <f>E9*$B$24*10.5%</f>
        <v>0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61545.696031651001</v>
      </c>
      <c r="E25" s="59">
        <f>SUM(E11:E24)</f>
        <v>0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3.8937746124779089</v>
      </c>
      <c r="E26" s="58" t="e">
        <f>E25/E9</f>
        <v>#DIV/0!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131820.356731651</v>
      </c>
      <c r="E27" s="14">
        <f>E4+E25</f>
        <v>0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8.3397993936979944</v>
      </c>
      <c r="E28" s="16" t="e">
        <f>E27/E9</f>
        <v>#DIV/0!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250</v>
      </c>
      <c r="D33" s="23">
        <f>M39+M46+M53</f>
        <v>230.7471293925</v>
      </c>
      <c r="E33" s="3">
        <f>D33*B33</f>
        <v>2574.2726622850782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9000</v>
      </c>
      <c r="D34" s="13">
        <f>M41+M48+M55</f>
        <v>8306.896658130001</v>
      </c>
      <c r="E34" s="3">
        <f>D34*B34</f>
        <v>92673.815842262818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4500</v>
      </c>
      <c r="D35" s="13">
        <f>M38+M40+M45+M47+M52+M54</f>
        <v>4153.4483290649996</v>
      </c>
      <c r="E35" s="3">
        <f>D35*B35</f>
        <v>37069.526336905124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3375</v>
      </c>
      <c r="D36" s="13">
        <f>M37+M42+M44+M49+M51+M56</f>
        <v>3115.0862467987499</v>
      </c>
      <c r="E36" s="13">
        <f>D36*B36</f>
        <v>26412.0375150449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17125</v>
      </c>
      <c r="D37" s="12">
        <f>SUM(D33:D36)</f>
        <v>15806.178363386251</v>
      </c>
      <c r="E37" s="10">
        <f>SUM(E33:E36)</f>
        <v>158729.65235649794</v>
      </c>
      <c r="F37" s="23"/>
      <c r="G37" s="22"/>
      <c r="H37" s="14" t="s">
        <v>32</v>
      </c>
      <c r="I37" s="37">
        <f>SUM('Energy Schedule'!AD7:AD26)/4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Schedule'!AD27:AD30)/4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Schedule'!AD31:AD46)/4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Schedule'!AD47:AD78)/4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Schedule'!AD79:AD94)/4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17125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Schedule'!AD95:AD102)/4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15806.178363386251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131820.356731651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Schedule'!AE7:AE26)/4</f>
        <v>2.5</v>
      </c>
      <c r="J44" s="14">
        <f t="shared" si="4"/>
        <v>2500</v>
      </c>
      <c r="K44" s="14">
        <f>J44-(J44*$B$6)</f>
        <v>2409.75</v>
      </c>
      <c r="L44" s="14">
        <f t="shared" si="6"/>
        <v>2353.3618499999998</v>
      </c>
      <c r="M44" s="14">
        <f t="shared" si="7"/>
        <v>2307.4712939249998</v>
      </c>
    </row>
    <row r="45" spans="1:15" ht="14.5" x14ac:dyDescent="0.3">
      <c r="A45" s="47" t="s">
        <v>158</v>
      </c>
      <c r="B45" s="16">
        <f>B44/B43</f>
        <v>8.3397993936979944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Schedule'!AE27:AE30)/4</f>
        <v>0.5</v>
      </c>
      <c r="J45" s="14">
        <f t="shared" si="4"/>
        <v>500</v>
      </c>
      <c r="K45" s="14">
        <f t="shared" si="5"/>
        <v>481.95</v>
      </c>
      <c r="L45" s="14">
        <f t="shared" si="6"/>
        <v>470.67237</v>
      </c>
      <c r="M45" s="14">
        <f t="shared" si="7"/>
        <v>461.494258785</v>
      </c>
    </row>
    <row r="46" spans="1:15" ht="14.5" x14ac:dyDescent="0.3">
      <c r="A46" s="47" t="s">
        <v>18</v>
      </c>
      <c r="B46" s="7">
        <f>E37</f>
        <v>158729.65235649794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Schedule'!AE31:AE46)/4</f>
        <v>0.25</v>
      </c>
      <c r="J46" s="14">
        <f t="shared" si="4"/>
        <v>250</v>
      </c>
      <c r="K46" s="14">
        <f t="shared" si="5"/>
        <v>240.97499999999999</v>
      </c>
      <c r="L46" s="14">
        <f t="shared" si="6"/>
        <v>235.336185</v>
      </c>
      <c r="M46" s="14">
        <f t="shared" si="7"/>
        <v>230.7471293925</v>
      </c>
    </row>
    <row r="47" spans="1:15" ht="14.5" x14ac:dyDescent="0.3">
      <c r="A47" s="47" t="s">
        <v>159</v>
      </c>
      <c r="B47" s="46">
        <f>B46/B43</f>
        <v>10.042253649635038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Schedule'!AE47:AE78)/4</f>
        <v>4</v>
      </c>
      <c r="J47" s="14">
        <f t="shared" si="4"/>
        <v>4000</v>
      </c>
      <c r="K47" s="14">
        <f t="shared" si="5"/>
        <v>3855.6</v>
      </c>
      <c r="L47" s="14">
        <f t="shared" si="6"/>
        <v>3765.37896</v>
      </c>
      <c r="M47" s="14">
        <f t="shared" si="7"/>
        <v>3691.95407028</v>
      </c>
    </row>
    <row r="48" spans="1:15" ht="14.5" x14ac:dyDescent="0.3">
      <c r="A48" s="47" t="s">
        <v>19</v>
      </c>
      <c r="B48" s="7">
        <f>B46-B44</f>
        <v>26909.295624846942</v>
      </c>
      <c r="G48" s="22"/>
      <c r="H48" s="14" t="s">
        <v>29</v>
      </c>
      <c r="I48" s="39">
        <f>SUM('Energy Schedule'!AE79:AE94)/4</f>
        <v>9</v>
      </c>
      <c r="J48" s="14">
        <f t="shared" si="4"/>
        <v>9000</v>
      </c>
      <c r="K48" s="14">
        <f t="shared" si="5"/>
        <v>8675.1</v>
      </c>
      <c r="L48" s="14">
        <f t="shared" si="6"/>
        <v>8472.1026600000005</v>
      </c>
      <c r="M48" s="14">
        <f t="shared" si="7"/>
        <v>8306.896658130001</v>
      </c>
    </row>
    <row r="49" spans="1:13" ht="14.5" x14ac:dyDescent="0.3">
      <c r="A49" s="47" t="s">
        <v>160</v>
      </c>
      <c r="B49" s="46">
        <f>B47-B45</f>
        <v>1.7024542559370435</v>
      </c>
      <c r="G49" s="22"/>
      <c r="H49" s="14" t="s">
        <v>32</v>
      </c>
      <c r="I49" s="37">
        <f>SUM('Energy Schedule'!AE95:AE102)/4</f>
        <v>0.875</v>
      </c>
      <c r="J49" s="14">
        <f t="shared" si="4"/>
        <v>875</v>
      </c>
      <c r="K49" s="14">
        <f t="shared" si="5"/>
        <v>843.41250000000002</v>
      </c>
      <c r="L49" s="14">
        <f t="shared" si="6"/>
        <v>823.67664750000006</v>
      </c>
      <c r="M49" s="14">
        <f t="shared" si="7"/>
        <v>807.6149528737501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Schedule'!AF7:AF26)/4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Schedule'!AF27:AF30)/4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Schedule'!AF31:AF46)/4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Schedule'!AF47:AF78)/4</f>
        <v>0</v>
      </c>
      <c r="J54" s="14">
        <f t="shared" si="4"/>
        <v>0</v>
      </c>
      <c r="K54" s="14">
        <f t="shared" si="5"/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Schedule'!AF79:AF94)/4</f>
        <v>0</v>
      </c>
      <c r="J55" s="14">
        <f t="shared" si="4"/>
        <v>0</v>
      </c>
      <c r="K55" s="14">
        <f t="shared" si="5"/>
        <v>0</v>
      </c>
      <c r="L55" s="14">
        <f t="shared" si="6"/>
        <v>0</v>
      </c>
      <c r="M55" s="14">
        <f t="shared" si="7"/>
        <v>0</v>
      </c>
    </row>
    <row r="56" spans="1:13" s="8" customFormat="1" ht="14.5" x14ac:dyDescent="0.3">
      <c r="G56" s="22"/>
      <c r="H56" s="14" t="s">
        <v>32</v>
      </c>
      <c r="I56" s="37">
        <f>SUM('Energy Schedule'!AF95:AF102)/4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0866141732283472" right="0.70866141732283472" top="0.74803149606299213" bottom="0.74803149606299213" header="0.31496062992125984" footer="0.31496062992125984"/>
  <pageSetup scale="5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2:O222"/>
  <sheetViews>
    <sheetView zoomScale="80" zoomScaleNormal="80" workbookViewId="0">
      <selection activeCell="F24" sqref="F24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Schedule'!AG$103</f>
        <v>0</v>
      </c>
      <c r="D3" s="33">
        <f>'Energy Schedule'!AH$103</f>
        <v>26.625</v>
      </c>
      <c r="E3" s="33">
        <f>'Energy Schedule'!AI$103</f>
        <v>7.6</v>
      </c>
      <c r="G3" s="22"/>
      <c r="H3" s="22"/>
    </row>
    <row r="4" spans="1:11" ht="14.5" x14ac:dyDescent="0.3">
      <c r="A4" s="31" t="s">
        <v>10</v>
      </c>
      <c r="B4" s="32"/>
      <c r="C4" s="34">
        <f>'Energy Schedule'!AG$5</f>
        <v>0</v>
      </c>
      <c r="D4" s="34">
        <f>'Energy Schedule'!AH$5</f>
        <v>98538.320999999996</v>
      </c>
      <c r="E4" s="34">
        <f>'Energy Schedule'!AI$5</f>
        <v>27909.59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26625</v>
      </c>
      <c r="E5" s="48">
        <f t="shared" si="0"/>
        <v>7600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'Energy Schedule'!AH3</f>
        <v>3.61E-2</v>
      </c>
      <c r="C6" s="49">
        <f>C5-(C5*$B$6)</f>
        <v>0</v>
      </c>
      <c r="D6" s="49">
        <f>D5-(D5*$B$6)</f>
        <v>25663.837500000001</v>
      </c>
      <c r="E6" s="49">
        <f>E5-(E5*$B$6)</f>
        <v>7325.64</v>
      </c>
      <c r="G6" s="22"/>
      <c r="H6" s="62" t="s">
        <v>28</v>
      </c>
      <c r="I6" s="76">
        <f>D33</f>
        <v>576.86782348124996</v>
      </c>
      <c r="J6" s="1">
        <f>'Consumption Details'!$B13</f>
        <v>2000</v>
      </c>
      <c r="K6" s="14">
        <f>J6-I6</f>
        <v>1423.1321765187499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25063.303702500001</v>
      </c>
      <c r="E7" s="49">
        <f>E6-(E6*$B$7)</f>
        <v>7154.2200240000002</v>
      </c>
      <c r="G7" s="22"/>
      <c r="H7" s="62" t="s">
        <v>29</v>
      </c>
      <c r="I7" s="76">
        <f t="shared" ref="I7:I9" si="1">D34</f>
        <v>12183.448431924</v>
      </c>
      <c r="J7" s="1">
        <f>'Consumption Details'!$C13</f>
        <v>10850</v>
      </c>
      <c r="K7" s="14">
        <f t="shared" ref="K7:K9" si="2">J7-I7</f>
        <v>-1333.448431924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24574.56928030125</v>
      </c>
      <c r="E8" s="49">
        <f>E7-(E7*$B$8)</f>
        <v>7014.7127335320001</v>
      </c>
      <c r="G8" s="22"/>
      <c r="H8" s="62" t="s">
        <v>31</v>
      </c>
      <c r="I8" s="76">
        <f t="shared" si="1"/>
        <v>15413.908243419</v>
      </c>
      <c r="J8" s="1">
        <f>'Consumption Details'!$D13</f>
        <v>20650</v>
      </c>
      <c r="K8" s="14">
        <f t="shared" si="2"/>
        <v>5236.0917565809996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24574.56928030125</v>
      </c>
      <c r="E9" s="49">
        <f>E8</f>
        <v>7014.7127335320001</v>
      </c>
      <c r="G9" s="22"/>
      <c r="H9" s="62" t="s">
        <v>32</v>
      </c>
      <c r="I9" s="76">
        <f t="shared" si="1"/>
        <v>3415.0575150089999</v>
      </c>
      <c r="J9" s="1">
        <f>'Consumption Details'!$E13</f>
        <v>3650</v>
      </c>
      <c r="K9" s="14">
        <f t="shared" si="2"/>
        <v>234.94248499100013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4.009767979086714</v>
      </c>
      <c r="E10" s="49">
        <f>E4/E9</f>
        <v>3.9787217324788657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628.35</v>
      </c>
      <c r="E11" s="49">
        <f>(E3*1000*$B$11)+(E3*1000*$B$11*18%)</f>
        <v>179.36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Schedule'!AG$6</f>
        <v>0</v>
      </c>
      <c r="D12" s="34">
        <f>'Energy Schedule'!AH$6</f>
        <v>7.36</v>
      </c>
      <c r="E12" s="34">
        <f>'Energy Schedule'!AI$6</f>
        <v>12.92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12183.6</v>
      </c>
      <c r="E13" s="49">
        <f>E3*$B$13</f>
        <v>3477.76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26.625</v>
      </c>
      <c r="E14" s="49">
        <f>E3*$B$14</f>
        <v>7.6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6922.5</v>
      </c>
      <c r="E15" s="49">
        <f>E3*$B$15</f>
        <v>1976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37.430312500000007</v>
      </c>
      <c r="E17" s="49">
        <f>E3*$B$17/24</f>
        <v>10.684333333333333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532.5</v>
      </c>
      <c r="E18" s="49">
        <f>E3*$B$18*1000</f>
        <v>152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48903.392867799485</v>
      </c>
      <c r="E19" s="49">
        <f>E9*$B$19</f>
        <v>13959.27833972868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25557.552051513299</v>
      </c>
      <c r="E21" s="49">
        <f>E8*$B$21</f>
        <v>7295.30124287328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309.63957293179573</v>
      </c>
      <c r="E23" s="49">
        <f>E9*$B$23*10.5%</f>
        <v>88.385380442503205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309.63957293179573</v>
      </c>
      <c r="E24" s="55">
        <f>E9*$B$24*10.5%</f>
        <v>88.385380442503205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95588.589377676384</v>
      </c>
      <c r="E25" s="59">
        <f>SUM(E11:E24)</f>
        <v>27417.674676820297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3.8897361043190011</v>
      </c>
      <c r="E26" s="58">
        <f>E25/E9</f>
        <v>3.9085955075191139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194126.91037767637</v>
      </c>
      <c r="E27" s="14">
        <f>E4+E25</f>
        <v>55327.264676820298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7.8995040834057146</v>
      </c>
      <c r="E28" s="16">
        <f>E27/E9</f>
        <v>7.8873172399979792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625</v>
      </c>
      <c r="D33" s="23">
        <f>M39+M46+M53</f>
        <v>576.86782348124996</v>
      </c>
      <c r="E33" s="3">
        <f>D33*B33</f>
        <v>6435.6816557126949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13200</v>
      </c>
      <c r="D34" s="13">
        <f>M41+M48+M55</f>
        <v>12183.448431924</v>
      </c>
      <c r="E34" s="3">
        <f>D34*B34</f>
        <v>135921.59656865214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16700</v>
      </c>
      <c r="D35" s="13">
        <f>M38+M40+M45+M47+M52+M54</f>
        <v>15413.908243419</v>
      </c>
      <c r="E35" s="3">
        <f>D35*B35</f>
        <v>137569.1310725146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3700</v>
      </c>
      <c r="D36" s="13">
        <f>M37+M42+M44+M49+M51+M56</f>
        <v>3415.0575150089999</v>
      </c>
      <c r="E36" s="13">
        <f>D36*B36</f>
        <v>28955.418905382558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34225</v>
      </c>
      <c r="D37" s="12">
        <f>SUM(D33:D36)</f>
        <v>31589.282013833254</v>
      </c>
      <c r="E37" s="10">
        <f>SUM(E33:E36)</f>
        <v>308881.828202262</v>
      </c>
      <c r="F37" s="23"/>
      <c r="G37" s="22"/>
      <c r="H37" s="14" t="s">
        <v>32</v>
      </c>
      <c r="I37" s="37">
        <f>SUM('Energy Schedule'!AG7:AG26)/4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Schedule'!AG27:AG30)/4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Schedule'!AG31:AG46)/4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Schedule'!AG47:AG78)/4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Schedule'!AG79:AG94)/4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34225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Schedule'!AG95:AG102)/4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31589.282013833254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249454.17505449668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Schedule'!AH7:AH26)/4</f>
        <v>2.5</v>
      </c>
      <c r="J44" s="14">
        <f t="shared" si="4"/>
        <v>2500</v>
      </c>
      <c r="K44" s="14">
        <f>J44-(J44*$B$6)</f>
        <v>2409.75</v>
      </c>
      <c r="L44" s="14">
        <f t="shared" si="6"/>
        <v>2353.3618499999998</v>
      </c>
      <c r="M44" s="14">
        <f t="shared" si="7"/>
        <v>2307.4712939249998</v>
      </c>
    </row>
    <row r="45" spans="1:15" ht="14.5" x14ac:dyDescent="0.3">
      <c r="A45" s="47" t="s">
        <v>158</v>
      </c>
      <c r="B45" s="16">
        <f>B44/B43</f>
        <v>7.8967978742048732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Schedule'!AH27:AH30)/4</f>
        <v>0.5</v>
      </c>
      <c r="J45" s="14">
        <f t="shared" si="4"/>
        <v>500</v>
      </c>
      <c r="K45" s="14">
        <f t="shared" si="5"/>
        <v>481.95</v>
      </c>
      <c r="L45" s="14">
        <f t="shared" si="6"/>
        <v>470.67237</v>
      </c>
      <c r="M45" s="14">
        <f t="shared" si="7"/>
        <v>461.494258785</v>
      </c>
    </row>
    <row r="46" spans="1:15" ht="14.5" x14ac:dyDescent="0.3">
      <c r="A46" s="47" t="s">
        <v>18</v>
      </c>
      <c r="B46" s="7">
        <f>E37</f>
        <v>308881.828202262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Schedule'!AH31:AH46)/4</f>
        <v>0.625</v>
      </c>
      <c r="J46" s="14">
        <f t="shared" si="4"/>
        <v>625</v>
      </c>
      <c r="K46" s="14">
        <f t="shared" si="5"/>
        <v>602.4375</v>
      </c>
      <c r="L46" s="14">
        <f t="shared" si="6"/>
        <v>588.34046249999994</v>
      </c>
      <c r="M46" s="14">
        <f t="shared" si="7"/>
        <v>576.86782348124996</v>
      </c>
    </row>
    <row r="47" spans="1:15" ht="14.5" x14ac:dyDescent="0.3">
      <c r="A47" s="47" t="s">
        <v>159</v>
      </c>
      <c r="B47" s="46">
        <f>B46/B43</f>
        <v>9.7780578889700518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Schedule'!AH47:AH78)/4</f>
        <v>10</v>
      </c>
      <c r="J47" s="14">
        <f t="shared" si="4"/>
        <v>10000</v>
      </c>
      <c r="K47" s="14">
        <f t="shared" si="5"/>
        <v>9639</v>
      </c>
      <c r="L47" s="14">
        <f t="shared" si="6"/>
        <v>9413.4473999999991</v>
      </c>
      <c r="M47" s="14">
        <f t="shared" si="7"/>
        <v>9229.8851756999993</v>
      </c>
    </row>
    <row r="48" spans="1:15" ht="14.5" x14ac:dyDescent="0.3">
      <c r="A48" s="47" t="s">
        <v>19</v>
      </c>
      <c r="B48" s="7">
        <f>B46-B44</f>
        <v>59427.653147765319</v>
      </c>
      <c r="G48" s="22"/>
      <c r="H48" s="14" t="s">
        <v>29</v>
      </c>
      <c r="I48" s="39">
        <f>SUM('Energy Schedule'!AH79:AH94)/4</f>
        <v>12</v>
      </c>
      <c r="J48" s="14">
        <f t="shared" si="4"/>
        <v>12000</v>
      </c>
      <c r="K48" s="14">
        <f t="shared" si="5"/>
        <v>11566.8</v>
      </c>
      <c r="L48" s="14">
        <f t="shared" si="6"/>
        <v>11296.13688</v>
      </c>
      <c r="M48" s="14">
        <f t="shared" si="7"/>
        <v>11075.86221084</v>
      </c>
    </row>
    <row r="49" spans="1:13" ht="14.5" x14ac:dyDescent="0.3">
      <c r="A49" s="47" t="s">
        <v>160</v>
      </c>
      <c r="B49" s="46">
        <f>B47-B45</f>
        <v>1.8812600147651786</v>
      </c>
      <c r="G49" s="22"/>
      <c r="H49" s="14" t="s">
        <v>32</v>
      </c>
      <c r="I49" s="37">
        <f>SUM('Energy Schedule'!AH95:AH102)/4</f>
        <v>1</v>
      </c>
      <c r="J49" s="14">
        <f t="shared" si="4"/>
        <v>1000</v>
      </c>
      <c r="K49" s="14">
        <f t="shared" si="5"/>
        <v>963.9</v>
      </c>
      <c r="L49" s="14">
        <f t="shared" si="6"/>
        <v>941.34474</v>
      </c>
      <c r="M49" s="14">
        <f t="shared" si="7"/>
        <v>922.98851757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Schedule'!AI7:AI26)/4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Schedule'!AI27:AI30)/4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Schedule'!AI31:AI46)/4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Schedule'!AI47:AI78)/4</f>
        <v>6.2000000000000011</v>
      </c>
      <c r="J54" s="14">
        <f t="shared" si="4"/>
        <v>6200.0000000000009</v>
      </c>
      <c r="K54" s="14">
        <f>J54-(J54*$B$6)</f>
        <v>5976.1800000000012</v>
      </c>
      <c r="L54" s="14">
        <f t="shared" si="6"/>
        <v>5836.3373880000008</v>
      </c>
      <c r="M54" s="14">
        <f t="shared" si="7"/>
        <v>5722.5288089340011</v>
      </c>
    </row>
    <row r="55" spans="1:13" s="8" customFormat="1" ht="14.5" x14ac:dyDescent="0.3">
      <c r="G55" s="22"/>
      <c r="H55" s="14" t="s">
        <v>29</v>
      </c>
      <c r="I55" s="39">
        <f>SUM('Energy Schedule'!AI79:AI94)/4</f>
        <v>1.1999999999999997</v>
      </c>
      <c r="J55" s="14">
        <f t="shared" si="4"/>
        <v>1199.9999999999998</v>
      </c>
      <c r="K55" s="14">
        <f t="shared" si="5"/>
        <v>1156.6799999999998</v>
      </c>
      <c r="L55" s="14">
        <f t="shared" si="6"/>
        <v>1129.6136879999999</v>
      </c>
      <c r="M55" s="14">
        <f t="shared" si="7"/>
        <v>1107.5862210839998</v>
      </c>
    </row>
    <row r="56" spans="1:13" s="8" customFormat="1" ht="14.5" x14ac:dyDescent="0.3">
      <c r="G56" s="22"/>
      <c r="H56" s="14" t="s">
        <v>32</v>
      </c>
      <c r="I56" s="37">
        <f>SUM('Energy Schedule'!AI95:AI102)/4</f>
        <v>0.19999999999999998</v>
      </c>
      <c r="J56" s="14">
        <f t="shared" si="4"/>
        <v>199.99999999999997</v>
      </c>
      <c r="K56" s="14">
        <f t="shared" si="5"/>
        <v>192.77999999999997</v>
      </c>
      <c r="L56" s="14">
        <f t="shared" si="6"/>
        <v>188.26894799999997</v>
      </c>
      <c r="M56" s="14">
        <f t="shared" si="7"/>
        <v>184.59770351399996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0866141732283472" right="0.70866141732283472" top="0.74803149606299213" bottom="0.74803149606299213" header="0.31496062992125984" footer="0.31496062992125984"/>
  <pageSetup scale="5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222"/>
  <sheetViews>
    <sheetView zoomScale="80" zoomScaleNormal="80" workbookViewId="0">
      <selection activeCell="E24" sqref="E24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Schedule'!AJ$103</f>
        <v>0</v>
      </c>
      <c r="D3" s="33">
        <f>'Energy Schedule'!AK$103</f>
        <v>16.75</v>
      </c>
      <c r="E3" s="33">
        <f>'Energy Schedule'!AL$103</f>
        <v>5.2</v>
      </c>
      <c r="G3" s="22"/>
      <c r="H3" s="22"/>
    </row>
    <row r="4" spans="1:11" ht="14.5" x14ac:dyDescent="0.3">
      <c r="A4" s="31" t="s">
        <v>10</v>
      </c>
      <c r="B4" s="32"/>
      <c r="C4" s="34">
        <f>'Energy Schedule'!AJ$5</f>
        <v>0</v>
      </c>
      <c r="D4" s="34">
        <f>'Energy Schedule'!AK$5</f>
        <v>63830.988299999997</v>
      </c>
      <c r="E4" s="34">
        <f>'Energy Schedule'!AL$5</f>
        <v>24341.29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16750</v>
      </c>
      <c r="E5" s="48">
        <f t="shared" si="0"/>
        <v>5200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16175.475</v>
      </c>
      <c r="E6" s="49">
        <f>E5-(E5*$B$6)</f>
        <v>5021.6400000000003</v>
      </c>
      <c r="G6" s="22"/>
      <c r="H6" s="62" t="s">
        <v>28</v>
      </c>
      <c r="I6" s="76">
        <f>D33</f>
        <v>786.00530107349982</v>
      </c>
      <c r="J6" s="1">
        <f>'Consumption Details'!$B14</f>
        <v>2700</v>
      </c>
      <c r="K6" s="14">
        <f>J6-I6</f>
        <v>1913.9946989265002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15796.968885</v>
      </c>
      <c r="E7" s="49">
        <f>E6-(E6*$B$7)</f>
        <v>4904.1336240000001</v>
      </c>
      <c r="G7" s="22"/>
      <c r="H7" s="62" t="s">
        <v>29</v>
      </c>
      <c r="I7" s="76">
        <f t="shared" ref="I7:I9" si="1">D34</f>
        <v>11096.545426919998</v>
      </c>
      <c r="J7" s="1">
        <f>'Consumption Details'!$C14</f>
        <v>9150</v>
      </c>
      <c r="K7" s="14">
        <f t="shared" ref="K7:K9" si="2">J7-I7</f>
        <v>-1946.5454269199981</v>
      </c>
    </row>
    <row r="8" spans="1:11" ht="14.5" x14ac:dyDescent="0.3">
      <c r="A8" s="40" t="s">
        <v>49</v>
      </c>
      <c r="B8" s="68">
        <f>'TNEB Charges'!B2</f>
        <v>1.95E-2</v>
      </c>
      <c r="C8" s="49">
        <f>C7-(C7*$B$8)</f>
        <v>0</v>
      </c>
      <c r="D8" s="49">
        <f>D7-(D7*$B$8)</f>
        <v>15488.927991742501</v>
      </c>
      <c r="E8" s="49">
        <f>E7-(E7*$B$8)</f>
        <v>4808.5030183320005</v>
      </c>
      <c r="G8" s="22"/>
      <c r="H8" s="62" t="s">
        <v>31</v>
      </c>
      <c r="I8" s="76">
        <f t="shared" si="1"/>
        <v>5178.3878658960002</v>
      </c>
      <c r="J8" s="1">
        <f>'Consumption Details'!$D14</f>
        <v>15600</v>
      </c>
      <c r="K8" s="14">
        <f t="shared" si="2"/>
        <v>10421.612134104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15488.927991742501</v>
      </c>
      <c r="E9" s="49">
        <f>E8</f>
        <v>4808.5030183320005</v>
      </c>
      <c r="G9" s="22"/>
      <c r="H9" s="62" t="s">
        <v>32</v>
      </c>
      <c r="I9" s="76">
        <f t="shared" si="1"/>
        <v>3236.4924161849999</v>
      </c>
      <c r="J9" s="1">
        <f>'Consumption Details'!$E14</f>
        <v>3200</v>
      </c>
      <c r="K9" s="14">
        <f t="shared" si="2"/>
        <v>-36.492416184999911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4.1210720544397743</v>
      </c>
      <c r="E10" s="49">
        <f>E4/E9</f>
        <v>5.0621347032955883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395.3</v>
      </c>
      <c r="E11" s="49">
        <f>(E3*1000*$B$11)+(E3*1000*$B$11*18%)</f>
        <v>122.72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Schedule'!AJ$6</f>
        <v>0</v>
      </c>
      <c r="D12" s="34">
        <f>'Energy Schedule'!AK$6</f>
        <v>7.44</v>
      </c>
      <c r="E12" s="34">
        <f>'Energy Schedule'!AL$6</f>
        <v>11.74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7664.8</v>
      </c>
      <c r="E13" s="49">
        <f>E3*$B$13</f>
        <v>2379.52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16.75</v>
      </c>
      <c r="E14" s="49">
        <f>E3*$B$14</f>
        <v>5.2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4355</v>
      </c>
      <c r="E15" s="49">
        <f>E3*$B$15</f>
        <v>1352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23.547708333333333</v>
      </c>
      <c r="E17" s="49">
        <f>E3*$B$17/24</f>
        <v>7.3103333333333333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335</v>
      </c>
      <c r="E18" s="49">
        <f>E3*$B$18*1000</f>
        <v>104.00000000000001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30822.966703567577</v>
      </c>
      <c r="E19" s="49">
        <f>E9*$B$19</f>
        <v>9568.9210064806812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16108.485111412201</v>
      </c>
      <c r="E21" s="49">
        <f>E8*$B$21</f>
        <v>5000.8431390652804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195.1604926959555</v>
      </c>
      <c r="E23" s="49">
        <f>E9*$B$23*10.5%</f>
        <v>60.587138030983205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195.1604926959555</v>
      </c>
      <c r="E24" s="55">
        <f>E9*$B$24*10.5%</f>
        <v>60.587138030983205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60289.610508705024</v>
      </c>
      <c r="E25" s="59">
        <f>SUM(E11:E24)</f>
        <v>18843.428754941262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3.8924327455616541</v>
      </c>
      <c r="E26" s="58">
        <f>E25/E9</f>
        <v>3.9187723670136685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124120.59880870502</v>
      </c>
      <c r="E27" s="14">
        <f>E4+E25</f>
        <v>43184.718754941263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8.013504800001428</v>
      </c>
      <c r="E28" s="16">
        <f>E27/E9</f>
        <v>8.9809070703092573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850</v>
      </c>
      <c r="D33" s="23">
        <f>M39+M46+M53</f>
        <v>786.00530107349982</v>
      </c>
      <c r="E33" s="3">
        <f>D33*B33</f>
        <v>8768.8716401012316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12000</v>
      </c>
      <c r="D34" s="13">
        <f>M41+M48+M55</f>
        <v>11096.545426919998</v>
      </c>
      <c r="E34" s="3">
        <f>D34*B34</f>
        <v>123795.83491907622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5600</v>
      </c>
      <c r="D35" s="13">
        <f>M38+M40+M45+M47+M52+M54</f>
        <v>5178.3878658960002</v>
      </c>
      <c r="E35" s="3">
        <f>D35*B35</f>
        <v>46217.111703121809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3500</v>
      </c>
      <c r="D36" s="13">
        <f>M37+M42+M44+M49+M51+M56</f>
        <v>3236.4924161849999</v>
      </c>
      <c r="E36" s="13">
        <f>D36*B36</f>
        <v>27441.410073728566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21950</v>
      </c>
      <c r="D37" s="12">
        <f>SUM(D33:D36)</f>
        <v>20297.431010074499</v>
      </c>
      <c r="E37" s="10">
        <f>SUM(E33:E36)</f>
        <v>206223.22833602782</v>
      </c>
      <c r="F37" s="23"/>
      <c r="G37" s="22"/>
      <c r="H37" s="14" t="s">
        <v>32</v>
      </c>
      <c r="I37" s="37">
        <f>SUM('Energy Schedule'!AJ7:AJ26)/4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Schedule'!AJ27:AJ30)/4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Schedule'!AJ31:AJ46)/4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Schedule'!AJ47:AJ78)/4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Schedule'!AJ79:AJ94)/4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21950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Schedule'!AJ95:AJ102)/4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20297.431010074499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167305.3175636463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Schedule'!AK7:AK26)/4</f>
        <v>2.5</v>
      </c>
      <c r="J44" s="14">
        <f t="shared" si="4"/>
        <v>2500</v>
      </c>
      <c r="K44" s="14">
        <f>J44-(J44*$B$6)</f>
        <v>2414.25</v>
      </c>
      <c r="L44" s="14">
        <f t="shared" si="6"/>
        <v>2357.7565500000001</v>
      </c>
      <c r="M44" s="14">
        <f t="shared" si="7"/>
        <v>2311.7802972750001</v>
      </c>
    </row>
    <row r="45" spans="1:15" ht="14.5" x14ac:dyDescent="0.3">
      <c r="A45" s="47" t="s">
        <v>158</v>
      </c>
      <c r="B45" s="16">
        <f>B44/B43</f>
        <v>8.2426843811221921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Schedule'!AK27:AK30)/4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206223.22833602782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Schedule'!AK31:AK46)/4</f>
        <v>0.25</v>
      </c>
      <c r="J46" s="14">
        <f t="shared" si="4"/>
        <v>250</v>
      </c>
      <c r="K46" s="14">
        <f t="shared" si="5"/>
        <v>241.42500000000001</v>
      </c>
      <c r="L46" s="14">
        <f t="shared" si="6"/>
        <v>235.775655</v>
      </c>
      <c r="M46" s="14">
        <f t="shared" si="7"/>
        <v>231.17802972749999</v>
      </c>
    </row>
    <row r="47" spans="1:15" ht="14.5" x14ac:dyDescent="0.3">
      <c r="A47" s="47" t="s">
        <v>159</v>
      </c>
      <c r="B47" s="46">
        <f>B46/B43</f>
        <v>10.16006548974943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Schedule'!AK47:AK78)/4</f>
        <v>3.5</v>
      </c>
      <c r="J47" s="14">
        <f t="shared" si="4"/>
        <v>3500</v>
      </c>
      <c r="K47" s="14">
        <f t="shared" si="5"/>
        <v>3379.95</v>
      </c>
      <c r="L47" s="14">
        <f t="shared" si="6"/>
        <v>3300.8591699999997</v>
      </c>
      <c r="M47" s="14">
        <f t="shared" si="7"/>
        <v>3236.4924161849999</v>
      </c>
    </row>
    <row r="48" spans="1:15" ht="14.5" x14ac:dyDescent="0.3">
      <c r="A48" s="47" t="s">
        <v>19</v>
      </c>
      <c r="B48" s="7">
        <f>B46-B44</f>
        <v>38917.910772381525</v>
      </c>
      <c r="G48" s="22"/>
      <c r="H48" s="14" t="s">
        <v>29</v>
      </c>
      <c r="I48" s="39">
        <f>SUM('Energy Schedule'!AK79:AK94)/4</f>
        <v>9</v>
      </c>
      <c r="J48" s="14">
        <f t="shared" si="4"/>
        <v>9000</v>
      </c>
      <c r="K48" s="14">
        <f t="shared" si="5"/>
        <v>8691.2999999999993</v>
      </c>
      <c r="L48" s="14">
        <f t="shared" si="6"/>
        <v>8487.9235799999988</v>
      </c>
      <c r="M48" s="14">
        <f t="shared" si="7"/>
        <v>8322.4090701899986</v>
      </c>
    </row>
    <row r="49" spans="1:13" ht="14.5" x14ac:dyDescent="0.3">
      <c r="A49" s="47" t="s">
        <v>160</v>
      </c>
      <c r="B49" s="46">
        <f>B47-B45</f>
        <v>1.9173811086272377</v>
      </c>
      <c r="G49" s="22"/>
      <c r="H49" s="14" t="s">
        <v>32</v>
      </c>
      <c r="I49" s="37">
        <f>SUM('Energy Schedule'!AK95:AK102)/4</f>
        <v>1</v>
      </c>
      <c r="J49" s="14">
        <f t="shared" si="4"/>
        <v>1000</v>
      </c>
      <c r="K49" s="14">
        <f t="shared" si="5"/>
        <v>965.7</v>
      </c>
      <c r="L49" s="14">
        <f t="shared" si="6"/>
        <v>943.10262</v>
      </c>
      <c r="M49" s="14">
        <f t="shared" si="7"/>
        <v>924.71211890999996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Schedule'!AL7:AL26)/4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Schedule'!AL27:AL30)/4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Schedule'!AL31:AL46)/4</f>
        <v>0.6</v>
      </c>
      <c r="J53" s="14">
        <f t="shared" si="4"/>
        <v>600</v>
      </c>
      <c r="K53" s="14">
        <f t="shared" si="5"/>
        <v>579.41999999999996</v>
      </c>
      <c r="L53" s="14">
        <f t="shared" si="6"/>
        <v>565.86157199999991</v>
      </c>
      <c r="M53" s="14">
        <f t="shared" si="7"/>
        <v>554.82727134599986</v>
      </c>
    </row>
    <row r="54" spans="1:13" s="9" customFormat="1" ht="14.5" x14ac:dyDescent="0.3">
      <c r="G54" s="22"/>
      <c r="H54" s="14" t="s">
        <v>31</v>
      </c>
      <c r="I54" s="38">
        <f>SUM('Energy Schedule'!AL47:AL78)/4</f>
        <v>1.5999999999999999</v>
      </c>
      <c r="J54" s="14">
        <f t="shared" si="4"/>
        <v>1599.9999999999998</v>
      </c>
      <c r="K54" s="14">
        <f>J54-(J54*$B$6)</f>
        <v>1545.12</v>
      </c>
      <c r="L54" s="14">
        <f t="shared" si="6"/>
        <v>1508.9641919999999</v>
      </c>
      <c r="M54" s="14">
        <f t="shared" si="7"/>
        <v>1479.5393902559999</v>
      </c>
    </row>
    <row r="55" spans="1:13" s="8" customFormat="1" ht="14.5" x14ac:dyDescent="0.3">
      <c r="G55" s="22"/>
      <c r="H55" s="14" t="s">
        <v>29</v>
      </c>
      <c r="I55" s="39">
        <f>SUM('Energy Schedule'!AL79:AL94)/4</f>
        <v>3</v>
      </c>
      <c r="J55" s="14">
        <f t="shared" si="4"/>
        <v>3000</v>
      </c>
      <c r="K55" s="14">
        <f t="shared" si="5"/>
        <v>2897.1</v>
      </c>
      <c r="L55" s="14">
        <f t="shared" si="6"/>
        <v>2829.3078599999999</v>
      </c>
      <c r="M55" s="14">
        <f t="shared" si="7"/>
        <v>2774.13635673</v>
      </c>
    </row>
    <row r="56" spans="1:13" s="8" customFormat="1" ht="14.5" x14ac:dyDescent="0.3">
      <c r="G56" s="22"/>
      <c r="H56" s="14" t="s">
        <v>32</v>
      </c>
      <c r="I56" s="37">
        <f>SUM('Energy Schedule'!AL95:AL102)/4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0866141732283472" right="0.70866141732283472" top="0.74803149606299213" bottom="0.74803149606299213" header="0.31496062992125984" footer="0.31496062992125984"/>
  <pageSetup scale="5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82F8-AFBF-4855-A783-40742F18883B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Schedule'!AM$103</f>
        <v>0</v>
      </c>
      <c r="D3" s="33">
        <f>'Energy Schedule'!AN$103</f>
        <v>17.625</v>
      </c>
      <c r="E3" s="33">
        <f>'Energy Schedule'!AO$103</f>
        <v>2.15</v>
      </c>
      <c r="G3" s="22"/>
      <c r="H3" s="22"/>
    </row>
    <row r="4" spans="1:11" ht="14.5" x14ac:dyDescent="0.3">
      <c r="A4" s="31" t="s">
        <v>10</v>
      </c>
      <c r="B4" s="32"/>
      <c r="C4" s="34">
        <f>'Energy Schedule'!AM$5</f>
        <v>0</v>
      </c>
      <c r="D4" s="34">
        <f>'Energy Schedule'!AN$5</f>
        <v>64149.078600000001</v>
      </c>
      <c r="E4" s="34">
        <f>'Energy Schedule'!AO$5</f>
        <v>8811.5300000000007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17625</v>
      </c>
      <c r="E5" s="48">
        <f t="shared" si="0"/>
        <v>2150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17020.462500000001</v>
      </c>
      <c r="E6" s="49">
        <f>E5-(E5*$B$6)</f>
        <v>2076.2550000000001</v>
      </c>
      <c r="G6" s="22"/>
      <c r="H6" s="62" t="s">
        <v>28</v>
      </c>
      <c r="I6" s="76">
        <f>D33</f>
        <v>508.59166540049989</v>
      </c>
      <c r="J6" s="1">
        <f>'Consumption Details'!$B15</f>
        <v>1750</v>
      </c>
      <c r="K6" s="14">
        <f>J6-I6</f>
        <v>1241.4083345995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16622.183677500001</v>
      </c>
      <c r="E7" s="49">
        <f>E6-(E6*$B$7)</f>
        <v>2027.6706330000002</v>
      </c>
      <c r="G7" s="22"/>
      <c r="H7" s="62" t="s">
        <v>29</v>
      </c>
      <c r="I7" s="76">
        <f t="shared" ref="I7:I9" si="1">D34</f>
        <v>7513.2859661437496</v>
      </c>
      <c r="J7" s="1">
        <f>'Consumption Details'!$C15</f>
        <v>9150</v>
      </c>
      <c r="K7" s="14">
        <f t="shared" ref="K7:K9" si="2">J7-I7</f>
        <v>1636.7140338562504</v>
      </c>
    </row>
    <row r="8" spans="1:11" ht="14.5" x14ac:dyDescent="0.3">
      <c r="A8" s="40" t="s">
        <v>49</v>
      </c>
      <c r="B8" s="67">
        <f>'TNEB Charges'!B2</f>
        <v>1.95E-2</v>
      </c>
      <c r="C8" s="49">
        <f>C7-(C7*$B$8)</f>
        <v>0</v>
      </c>
      <c r="D8" s="49">
        <f>D7-(D7*$B$8)</f>
        <v>16298.051095788751</v>
      </c>
      <c r="E8" s="49">
        <f>E7-(E7*$B$8)</f>
        <v>1988.1310556565002</v>
      </c>
      <c r="G8" s="22"/>
      <c r="H8" s="62" t="s">
        <v>31</v>
      </c>
      <c r="I8" s="76">
        <f t="shared" si="1"/>
        <v>7027.8121037160008</v>
      </c>
      <c r="J8" s="1">
        <f>'Consumption Details'!$D16</f>
        <v>17200</v>
      </c>
      <c r="K8" s="14">
        <f t="shared" si="2"/>
        <v>10172.187896283998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16298.051095788751</v>
      </c>
      <c r="E9" s="49">
        <f>E8</f>
        <v>1988.1310556565002</v>
      </c>
      <c r="G9" s="22"/>
      <c r="H9" s="62" t="s">
        <v>32</v>
      </c>
      <c r="I9" s="76">
        <f t="shared" si="1"/>
        <v>3236.4924161849999</v>
      </c>
      <c r="J9" s="1">
        <f>'Consumption Details'!$E15</f>
        <v>3300</v>
      </c>
      <c r="K9" s="14">
        <f t="shared" si="2"/>
        <v>63.507583815000089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3.9359969006708702</v>
      </c>
      <c r="E10" s="49">
        <f>E4/E9</f>
        <v>4.4320669781451345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415.95</v>
      </c>
      <c r="E11" s="49">
        <f>(E3*1000*$B$11)+(E3*1000*$B$11*18%)</f>
        <v>50.74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Schedule'!AM$6</f>
        <v>0</v>
      </c>
      <c r="D12" s="34">
        <f>'Energy Schedule'!AN$6</f>
        <v>7.69</v>
      </c>
      <c r="E12" s="34">
        <f>'Energy Schedule'!AO$6</f>
        <v>12.56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8065.2000000000007</v>
      </c>
      <c r="E13" s="49">
        <f>E3*$B$13</f>
        <v>983.84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17.625</v>
      </c>
      <c r="E14" s="49">
        <f>E3*$B$14</f>
        <v>2.15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4582.5</v>
      </c>
      <c r="E15" s="49">
        <f>E3*$B$15</f>
        <v>559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24.7778125</v>
      </c>
      <c r="E17" s="49">
        <f>E3*$B$17/24</f>
        <v>3.0225416666666667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352.5</v>
      </c>
      <c r="E18" s="49">
        <f>E3*$B$18*1000</f>
        <v>43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32433.121680619613</v>
      </c>
      <c r="E19" s="49">
        <f>E9*$B$19</f>
        <v>3956.3808007564353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16949.973139620302</v>
      </c>
      <c r="E21" s="49">
        <f>E8*$B$21</f>
        <v>2067.6562978827601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205.35544380693824</v>
      </c>
      <c r="E23" s="49">
        <f>E9*$B$23*10.5%</f>
        <v>25.050451301271899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205.35544380693824</v>
      </c>
      <c r="E24" s="55">
        <f>E9*$B$24*10.5%</f>
        <v>25.050451301271899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63430.048520353797</v>
      </c>
      <c r="E25" s="59">
        <f>SUM(E11:E24)</f>
        <v>7898.4505429084056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3.8918793509454312</v>
      </c>
      <c r="E26" s="58">
        <f>E25/E9</f>
        <v>3.9728017529006712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127579.12712035381</v>
      </c>
      <c r="E27" s="14">
        <f>E4+E25</f>
        <v>16709.980542908408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7.8278762516163019</v>
      </c>
      <c r="E28" s="16">
        <f>E27/E9</f>
        <v>8.4048687310458057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550</v>
      </c>
      <c r="D33" s="23">
        <f>M39+M46+M53</f>
        <v>508.59166540049989</v>
      </c>
      <c r="E33" s="3">
        <f>D33*B33</f>
        <v>5673.9757671243269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8125</v>
      </c>
      <c r="D34" s="13">
        <f>M41+M48+M55</f>
        <v>7513.2859661437496</v>
      </c>
      <c r="E34" s="3">
        <f>D34*B34</f>
        <v>83820.0965597912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7600</v>
      </c>
      <c r="D35" s="13">
        <f>M38+M40+M45+M47+M52+M54</f>
        <v>7027.8121037160008</v>
      </c>
      <c r="E35" s="3">
        <f>D35*B35</f>
        <v>62723.223025665313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3500</v>
      </c>
      <c r="D36" s="13">
        <f>M37+M42+M44+M49+M51+M56</f>
        <v>3236.4924161849999</v>
      </c>
      <c r="E36" s="13">
        <f>D36*B36</f>
        <v>27441.410073728566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19775</v>
      </c>
      <c r="D37" s="12">
        <f>SUM(D33:D36)</f>
        <v>18286.182151445249</v>
      </c>
      <c r="E37" s="10">
        <f>SUM(E33:E36)</f>
        <v>179658.7054263094</v>
      </c>
      <c r="F37" s="23"/>
      <c r="G37" s="22"/>
      <c r="H37" s="14" t="s">
        <v>32</v>
      </c>
      <c r="I37" s="37">
        <f>SUM('Energy Schedule'!AM7:AM26)/4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Schedule'!AM27:AM30)/4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Schedule'!AM31:AM46)/4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Schedule'!AM47:AM78)/4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Schedule'!AM79:AM94)/4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19775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Schedule'!AM95:AM102)/4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18286.182151445249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144289.10766326223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Schedule'!AN7:AN26)/4</f>
        <v>2.5</v>
      </c>
      <c r="J44" s="14">
        <f t="shared" si="4"/>
        <v>2500</v>
      </c>
      <c r="K44" s="14">
        <f>J44-(J44*$B$6)</f>
        <v>2414.25</v>
      </c>
      <c r="L44" s="14">
        <f t="shared" si="6"/>
        <v>2357.7565500000001</v>
      </c>
      <c r="M44" s="14">
        <f t="shared" si="7"/>
        <v>2311.7802972750001</v>
      </c>
    </row>
    <row r="45" spans="1:15" ht="14.5" x14ac:dyDescent="0.3">
      <c r="A45" s="47" t="s">
        <v>158</v>
      </c>
      <c r="B45" s="16">
        <f>B44/B43</f>
        <v>7.890608683008133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Schedule'!AN27:AN30)/4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179658.7054263094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Schedule'!AN31:AN46)/4</f>
        <v>0.25</v>
      </c>
      <c r="J46" s="14">
        <f t="shared" si="4"/>
        <v>250</v>
      </c>
      <c r="K46" s="14">
        <f t="shared" si="5"/>
        <v>241.42500000000001</v>
      </c>
      <c r="L46" s="14">
        <f t="shared" si="6"/>
        <v>235.775655</v>
      </c>
      <c r="M46" s="14">
        <f t="shared" si="7"/>
        <v>231.17802972749999</v>
      </c>
    </row>
    <row r="47" spans="1:15" ht="14.5" x14ac:dyDescent="0.3">
      <c r="A47" s="47" t="s">
        <v>159</v>
      </c>
      <c r="B47" s="46">
        <f>B46/B43</f>
        <v>9.8248340707964594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Schedule'!AN47:AN78)/4</f>
        <v>6.5</v>
      </c>
      <c r="J47" s="14">
        <f t="shared" si="4"/>
        <v>6500</v>
      </c>
      <c r="K47" s="14">
        <f t="shared" si="5"/>
        <v>6277.05</v>
      </c>
      <c r="L47" s="14">
        <f t="shared" si="6"/>
        <v>6130.1670300000005</v>
      </c>
      <c r="M47" s="14">
        <f t="shared" si="7"/>
        <v>6010.6287729150008</v>
      </c>
    </row>
    <row r="48" spans="1:15" ht="14.5" x14ac:dyDescent="0.3">
      <c r="A48" s="47" t="s">
        <v>19</v>
      </c>
      <c r="B48" s="7">
        <f>B46-B44</f>
        <v>35369.597763047175</v>
      </c>
      <c r="G48" s="22"/>
      <c r="H48" s="14" t="s">
        <v>29</v>
      </c>
      <c r="I48" s="39">
        <f>SUM('Energy Schedule'!AN79:AN94)/4</f>
        <v>6.875</v>
      </c>
      <c r="J48" s="14">
        <f t="shared" si="4"/>
        <v>6875</v>
      </c>
      <c r="K48" s="14">
        <f t="shared" si="5"/>
        <v>6639.1875</v>
      </c>
      <c r="L48" s="14">
        <f t="shared" si="6"/>
        <v>6483.8305124999997</v>
      </c>
      <c r="M48" s="14">
        <f t="shared" si="7"/>
        <v>6357.3958175062498</v>
      </c>
    </row>
    <row r="49" spans="1:13" ht="14.5" x14ac:dyDescent="0.3">
      <c r="A49" s="47" t="s">
        <v>160</v>
      </c>
      <c r="B49" s="46">
        <f>B47-B45</f>
        <v>1.9342253877883264</v>
      </c>
      <c r="G49" s="22"/>
      <c r="H49" s="14" t="s">
        <v>32</v>
      </c>
      <c r="I49" s="37">
        <f>SUM('Energy Schedule'!AN95:AN102)/4</f>
        <v>1</v>
      </c>
      <c r="J49" s="14">
        <f t="shared" si="4"/>
        <v>1000</v>
      </c>
      <c r="K49" s="14">
        <f t="shared" si="5"/>
        <v>965.7</v>
      </c>
      <c r="L49" s="14">
        <f t="shared" si="6"/>
        <v>943.10262</v>
      </c>
      <c r="M49" s="14">
        <f t="shared" si="7"/>
        <v>924.71211890999996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Schedule'!AO7:AO26)/4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Schedule'!AO27:AO30)/4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Schedule'!AO31:AO46)/4</f>
        <v>0.3</v>
      </c>
      <c r="J53" s="14">
        <f t="shared" si="4"/>
        <v>300</v>
      </c>
      <c r="K53" s="14">
        <f t="shared" si="5"/>
        <v>289.70999999999998</v>
      </c>
      <c r="L53" s="14">
        <f t="shared" si="6"/>
        <v>282.93078599999996</v>
      </c>
      <c r="M53" s="14">
        <f t="shared" si="7"/>
        <v>277.41363567299993</v>
      </c>
    </row>
    <row r="54" spans="1:13" s="9" customFormat="1" ht="14.5" x14ac:dyDescent="0.3">
      <c r="G54" s="22"/>
      <c r="H54" s="14" t="s">
        <v>31</v>
      </c>
      <c r="I54" s="38">
        <f>SUM('Energy Schedule'!AO47:AO78)/4</f>
        <v>0.6</v>
      </c>
      <c r="J54" s="14">
        <f t="shared" si="4"/>
        <v>600</v>
      </c>
      <c r="K54" s="14">
        <f>J54-(J54*$B$6)</f>
        <v>579.41999999999996</v>
      </c>
      <c r="L54" s="14">
        <f t="shared" si="6"/>
        <v>565.86157199999991</v>
      </c>
      <c r="M54" s="14">
        <f t="shared" si="7"/>
        <v>554.82727134599986</v>
      </c>
    </row>
    <row r="55" spans="1:13" s="8" customFormat="1" ht="14.5" x14ac:dyDescent="0.3">
      <c r="G55" s="22"/>
      <c r="H55" s="14" t="s">
        <v>29</v>
      </c>
      <c r="I55" s="39">
        <f>SUM('Energy Schedule'!AO79:AO94)/4</f>
        <v>1.25</v>
      </c>
      <c r="J55" s="14">
        <f t="shared" si="4"/>
        <v>1250</v>
      </c>
      <c r="K55" s="14">
        <f t="shared" si="5"/>
        <v>1207.125</v>
      </c>
      <c r="L55" s="14">
        <f t="shared" si="6"/>
        <v>1178.878275</v>
      </c>
      <c r="M55" s="14">
        <f t="shared" si="7"/>
        <v>1155.8901486375</v>
      </c>
    </row>
    <row r="56" spans="1:13" s="8" customFormat="1" ht="14.5" x14ac:dyDescent="0.3">
      <c r="G56" s="22"/>
      <c r="H56" s="14" t="s">
        <v>32</v>
      </c>
      <c r="I56" s="37">
        <f>SUM('Energy Schedule'!AO95:AO102)/4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9071-7317-4373-87D5-D2B605397E65}">
  <dimension ref="A2:O222"/>
  <sheetViews>
    <sheetView zoomScale="80" zoomScaleNormal="80" workbookViewId="0">
      <selection activeCell="J6" sqref="J6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Schedule'!AP$103</f>
        <v>0</v>
      </c>
      <c r="D3" s="33">
        <f>'Energy Schedule'!AQ$103</f>
        <v>11.15</v>
      </c>
      <c r="E3" s="33">
        <f>'Energy Schedule'!AR$103</f>
        <v>6.4749999999999996</v>
      </c>
      <c r="G3" s="22"/>
      <c r="H3" s="22"/>
    </row>
    <row r="4" spans="1:11" ht="14.5" x14ac:dyDescent="0.3">
      <c r="A4" s="31" t="s">
        <v>10</v>
      </c>
      <c r="B4" s="32"/>
      <c r="C4" s="34">
        <f>'Energy Schedule'!AP$5</f>
        <v>0</v>
      </c>
      <c r="D4" s="34">
        <f>'Energy Schedule'!AQ$5</f>
        <v>43154.523300000001</v>
      </c>
      <c r="E4" s="34">
        <f>'Energy Schedule'!AR$5</f>
        <v>24088.83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11150</v>
      </c>
      <c r="E5" s="48">
        <f t="shared" si="0"/>
        <v>6475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10767.555</v>
      </c>
      <c r="E6" s="49">
        <f>E5-(E5*$B$6)</f>
        <v>6252.9075000000003</v>
      </c>
      <c r="G6" s="22"/>
      <c r="H6" s="62" t="s">
        <v>28</v>
      </c>
      <c r="I6" s="76">
        <f>D33</f>
        <v>577.94507431875002</v>
      </c>
      <c r="J6" s="1">
        <f>'Consumption Details'!$B16</f>
        <v>2100</v>
      </c>
      <c r="K6" s="14">
        <f>J6-I6</f>
        <v>1522.0549256812501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10515.594213</v>
      </c>
      <c r="E7" s="49">
        <f>E6-(E6*$B$7)</f>
        <v>6106.5894644999998</v>
      </c>
      <c r="G7" s="22"/>
      <c r="H7" s="62" t="s">
        <v>29</v>
      </c>
      <c r="I7" s="76">
        <f t="shared" ref="I7:I9" si="1">D34</f>
        <v>7282.1079364162497</v>
      </c>
      <c r="J7" s="1">
        <f>'Consumption Details'!$C16</f>
        <v>9350</v>
      </c>
      <c r="K7" s="14">
        <f t="shared" ref="K7:K9" si="2">J7-I7</f>
        <v>2067.8920635837503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10310.540125846501</v>
      </c>
      <c r="E8" s="49">
        <f>E7-(E7*$B$8)</f>
        <v>5987.5109699422501</v>
      </c>
      <c r="G8" s="22"/>
      <c r="H8" s="62" t="s">
        <v>31</v>
      </c>
      <c r="I8" s="76">
        <f t="shared" si="1"/>
        <v>5247.7412748142497</v>
      </c>
      <c r="J8" s="1">
        <f>'Consumption Details'!$D17</f>
        <v>16150</v>
      </c>
      <c r="K8" s="14">
        <f t="shared" si="2"/>
        <v>10902.258725185751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10310.540125846501</v>
      </c>
      <c r="E9" s="49">
        <f>E8</f>
        <v>5987.5109699422501</v>
      </c>
      <c r="G9" s="22"/>
      <c r="H9" s="62" t="s">
        <v>32</v>
      </c>
      <c r="I9" s="76">
        <f t="shared" si="1"/>
        <v>3190.2568102394989</v>
      </c>
      <c r="J9" s="1">
        <f>'Consumption Details'!$E16</f>
        <v>3250</v>
      </c>
      <c r="K9" s="14">
        <f t="shared" si="2"/>
        <v>59.743189760501082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4.1854764903945316</v>
      </c>
      <c r="E10" s="49">
        <f>E4/E9</f>
        <v>4.0231792678005469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263.14</v>
      </c>
      <c r="E11" s="49">
        <f>(E3*1000*$B$11)+(E3*1000*$B$11*18%)</f>
        <v>152.81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Schedule'!AP$6</f>
        <v>0</v>
      </c>
      <c r="D12" s="34">
        <f>'Energy Schedule'!AQ$6</f>
        <v>7.62</v>
      </c>
      <c r="E12" s="34">
        <f>'Energy Schedule'!AR$6</f>
        <v>12.92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5102.2400000000007</v>
      </c>
      <c r="E13" s="49">
        <f>E3*$B$13</f>
        <v>2962.96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11.15</v>
      </c>
      <c r="E14" s="49">
        <f>E3*$B$14</f>
        <v>6.4749999999999996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2899</v>
      </c>
      <c r="E15" s="49">
        <f>E3*$B$15</f>
        <v>1683.5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15.675041666666667</v>
      </c>
      <c r="E17" s="49">
        <f>E3*$B$17/24</f>
        <v>9.1027708333333326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223</v>
      </c>
      <c r="E18" s="49">
        <f>E3*$B$18*1000</f>
        <v>129.5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20517.974850434537</v>
      </c>
      <c r="E19" s="49">
        <f>E9*$B$19</f>
        <v>11915.146830185078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10722.961730880361</v>
      </c>
      <c r="E21" s="49">
        <f>E8*$B$21</f>
        <v>6227.0114087399406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129.91280558566589</v>
      </c>
      <c r="E23" s="49">
        <f>E9*$B$23*10.5%</f>
        <v>75.442638221272347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129.91280558566589</v>
      </c>
      <c r="E24" s="55">
        <f>E9*$B$24*10.5%</f>
        <v>75.442638221272347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40192.587234152888</v>
      </c>
      <c r="E25" s="59">
        <f>SUM(E11:E24)</f>
        <v>23420.3112862009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3.8982038519396243</v>
      </c>
      <c r="E26" s="58">
        <f>E25/E9</f>
        <v>3.9115270775740707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83347.110534152889</v>
      </c>
      <c r="E27" s="14">
        <f>E4+E25</f>
        <v>47509.141286200902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8.083680342334155</v>
      </c>
      <c r="E28" s="16">
        <f>E27/E9</f>
        <v>7.9347063453746172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625</v>
      </c>
      <c r="D33" s="23">
        <f>M39+M46+M53</f>
        <v>577.94507431875002</v>
      </c>
      <c r="E33" s="3">
        <f>D33*B33</f>
        <v>6447.6997353685547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7875</v>
      </c>
      <c r="D34" s="13">
        <f>M41+M48+M55</f>
        <v>7282.1079364162497</v>
      </c>
      <c r="E34" s="3">
        <f>D34*B34</f>
        <v>81241.01666564378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5675</v>
      </c>
      <c r="D35" s="13">
        <f>M38+M40+M45+M47+M52+M54</f>
        <v>5247.7412748142497</v>
      </c>
      <c r="E35" s="3">
        <f>D35*B35</f>
        <v>46836.090877717179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3449.9999999999991</v>
      </c>
      <c r="D36" s="13">
        <f>M37+M42+M44+M49+M51+M56</f>
        <v>3190.2568102394989</v>
      </c>
      <c r="E36" s="13">
        <f>D36*B36</f>
        <v>27049.38992981815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17625</v>
      </c>
      <c r="D37" s="12">
        <f>SUM(D33:D36)</f>
        <v>16298.051095788749</v>
      </c>
      <c r="E37" s="10">
        <f>SUM(E33:E36)</f>
        <v>161574.19720854767</v>
      </c>
      <c r="F37" s="23"/>
      <c r="G37" s="22"/>
      <c r="H37" s="14" t="s">
        <v>32</v>
      </c>
      <c r="I37" s="37">
        <f>SUM('Energy Schedule'!AP7:AP26)/4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Schedule'!AP27:AP30)/4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Schedule'!AP31:AP46)/4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Schedule'!AP47:AP78)/4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Schedule'!AP79:AP94)/4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17625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Schedule'!AP95:AP102)/4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16298.051095788749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130856.25182035379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Schedule'!AQ7:AQ26)/4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8.028950888132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Schedule'!AQ27:AQ30)/4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161574.19720854767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Schedule'!AQ31:AQ46)/4</f>
        <v>0.25</v>
      </c>
      <c r="J46" s="14">
        <f t="shared" si="4"/>
        <v>250</v>
      </c>
      <c r="K46" s="14">
        <f t="shared" si="5"/>
        <v>241.42500000000001</v>
      </c>
      <c r="L46" s="14">
        <f t="shared" si="6"/>
        <v>235.775655</v>
      </c>
      <c r="M46" s="14">
        <f t="shared" si="7"/>
        <v>231.17802972749999</v>
      </c>
    </row>
    <row r="47" spans="1:15" ht="14.5" x14ac:dyDescent="0.3">
      <c r="A47" s="47" t="s">
        <v>159</v>
      </c>
      <c r="B47" s="46">
        <f>B46/B43</f>
        <v>9.9137127659574471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Schedule'!AQ47:AQ78)/4</f>
        <v>1.5</v>
      </c>
      <c r="J47" s="14">
        <f t="shared" si="4"/>
        <v>1500</v>
      </c>
      <c r="K47" s="14">
        <f t="shared" si="5"/>
        <v>1448.55</v>
      </c>
      <c r="L47" s="14">
        <f t="shared" si="6"/>
        <v>1414.6539299999999</v>
      </c>
      <c r="M47" s="14">
        <f t="shared" si="7"/>
        <v>1387.068178365</v>
      </c>
    </row>
    <row r="48" spans="1:15" ht="14.5" x14ac:dyDescent="0.3">
      <c r="A48" s="47" t="s">
        <v>19</v>
      </c>
      <c r="B48" s="7">
        <f>B46-B44</f>
        <v>30717.945388193883</v>
      </c>
      <c r="G48" s="22"/>
      <c r="H48" s="14" t="s">
        <v>29</v>
      </c>
      <c r="I48" s="39">
        <f>SUM('Energy Schedule'!AQ79:AQ94)/4</f>
        <v>6.875</v>
      </c>
      <c r="J48" s="14">
        <f t="shared" si="4"/>
        <v>6875</v>
      </c>
      <c r="K48" s="14">
        <f t="shared" si="5"/>
        <v>6639.1875</v>
      </c>
      <c r="L48" s="14">
        <f t="shared" si="6"/>
        <v>6483.8305124999997</v>
      </c>
      <c r="M48" s="14">
        <f t="shared" si="7"/>
        <v>6357.3958175062498</v>
      </c>
    </row>
    <row r="49" spans="1:13" ht="14.5" x14ac:dyDescent="0.3">
      <c r="A49" s="47" t="s">
        <v>160</v>
      </c>
      <c r="B49" s="46">
        <f>B47-B45</f>
        <v>1.8847618778254471</v>
      </c>
      <c r="G49" s="22"/>
      <c r="H49" s="14" t="s">
        <v>32</v>
      </c>
      <c r="I49" s="37">
        <f>SUM('Energy Schedule'!AQ95:AQ102)/4</f>
        <v>0.52500000000000002</v>
      </c>
      <c r="J49" s="14">
        <f t="shared" si="4"/>
        <v>525</v>
      </c>
      <c r="K49" s="14">
        <f t="shared" si="5"/>
        <v>506.99250000000001</v>
      </c>
      <c r="L49" s="14">
        <f t="shared" si="6"/>
        <v>495.12887549999999</v>
      </c>
      <c r="M49" s="14">
        <f t="shared" si="7"/>
        <v>485.47386242774996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Schedule'!AR7:AR26)/4</f>
        <v>1.4249999999999996</v>
      </c>
      <c r="J51" s="14">
        <f t="shared" si="4"/>
        <v>1424.9999999999995</v>
      </c>
      <c r="K51" s="14">
        <f t="shared" si="5"/>
        <v>1376.1224999999995</v>
      </c>
      <c r="L51" s="14">
        <f t="shared" si="6"/>
        <v>1343.9212334999995</v>
      </c>
      <c r="M51" s="14">
        <f t="shared" si="7"/>
        <v>1317.7147694467494</v>
      </c>
    </row>
    <row r="52" spans="1:13" ht="14.5" x14ac:dyDescent="0.3">
      <c r="G52" s="22"/>
      <c r="H52" s="14" t="s">
        <v>31</v>
      </c>
      <c r="I52" s="38">
        <f>SUM('Energy Schedule'!AR27:AR30)/4</f>
        <v>0.125</v>
      </c>
      <c r="J52" s="14">
        <f t="shared" si="4"/>
        <v>125</v>
      </c>
      <c r="K52" s="14">
        <f t="shared" si="5"/>
        <v>120.71250000000001</v>
      </c>
      <c r="L52" s="14">
        <f t="shared" si="6"/>
        <v>117.8878275</v>
      </c>
      <c r="M52" s="14">
        <f t="shared" si="7"/>
        <v>115.58901486374999</v>
      </c>
    </row>
    <row r="53" spans="1:13" s="9" customFormat="1" ht="14.5" x14ac:dyDescent="0.3">
      <c r="G53" s="22"/>
      <c r="H53" s="14" t="s">
        <v>28</v>
      </c>
      <c r="I53" s="39">
        <f>SUM('Energy Schedule'!AR31:AR46)/4</f>
        <v>0.375</v>
      </c>
      <c r="J53" s="14">
        <f t="shared" si="4"/>
        <v>375</v>
      </c>
      <c r="K53" s="14">
        <f t="shared" si="5"/>
        <v>362.13749999999999</v>
      </c>
      <c r="L53" s="14">
        <f t="shared" si="6"/>
        <v>353.66348249999999</v>
      </c>
      <c r="M53" s="14">
        <f t="shared" si="7"/>
        <v>346.76704459125</v>
      </c>
    </row>
    <row r="54" spans="1:13" s="9" customFormat="1" ht="14.5" x14ac:dyDescent="0.3">
      <c r="G54" s="22"/>
      <c r="H54" s="14" t="s">
        <v>31</v>
      </c>
      <c r="I54" s="38">
        <f>SUM('Energy Schedule'!AR47:AR78)/4</f>
        <v>3.55</v>
      </c>
      <c r="J54" s="14">
        <f t="shared" si="4"/>
        <v>3550</v>
      </c>
      <c r="K54" s="14">
        <f>J54-(J54*$B$6)</f>
        <v>3428.2350000000001</v>
      </c>
      <c r="L54" s="14">
        <f t="shared" si="6"/>
        <v>3348.0143010000002</v>
      </c>
      <c r="M54" s="14">
        <f t="shared" si="7"/>
        <v>3282.7280221305</v>
      </c>
    </row>
    <row r="55" spans="1:13" s="8" customFormat="1" ht="14.5" x14ac:dyDescent="0.3">
      <c r="G55" s="22"/>
      <c r="H55" s="14" t="s">
        <v>29</v>
      </c>
      <c r="I55" s="39">
        <f>SUM('Energy Schedule'!AR79:AR94)/4</f>
        <v>1</v>
      </c>
      <c r="J55" s="14">
        <f t="shared" si="4"/>
        <v>1000</v>
      </c>
      <c r="K55" s="14">
        <f t="shared" si="5"/>
        <v>965.7</v>
      </c>
      <c r="L55" s="14">
        <f t="shared" si="6"/>
        <v>943.10262</v>
      </c>
      <c r="M55" s="14">
        <f t="shared" si="7"/>
        <v>924.71211890999996</v>
      </c>
    </row>
    <row r="56" spans="1:13" s="8" customFormat="1" ht="14.5" x14ac:dyDescent="0.3">
      <c r="G56" s="22"/>
      <c r="H56" s="14" t="s">
        <v>32</v>
      </c>
      <c r="I56" s="37">
        <f>SUM('Energy Schedule'!AR95:AR102)/4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EBBD-92ED-49B3-BB0D-ADECB7897729}">
  <dimension ref="A2:O222"/>
  <sheetViews>
    <sheetView zoomScale="80" zoomScaleNormal="80" workbookViewId="0">
      <selection activeCell="J9" sqref="J9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Schedule'!AS$103</f>
        <v>0</v>
      </c>
      <c r="D3" s="33">
        <f>'Energy Schedule'!AT$103</f>
        <v>12.324999999999999</v>
      </c>
      <c r="E3" s="33">
        <f>'Energy Schedule'!AU$103</f>
        <v>3.1575000000000002</v>
      </c>
      <c r="G3" s="22"/>
      <c r="H3" s="22"/>
    </row>
    <row r="4" spans="1:11" ht="14.5" x14ac:dyDescent="0.3">
      <c r="A4" s="31" t="s">
        <v>10</v>
      </c>
      <c r="B4" s="32"/>
      <c r="C4" s="34">
        <f>'Energy Schedule'!AS$5</f>
        <v>0</v>
      </c>
      <c r="D4" s="34">
        <f>'Energy Schedule'!AT$5</f>
        <v>49631.554700000001</v>
      </c>
      <c r="E4" s="34">
        <f>'Energy Schedule'!AU$5</f>
        <v>12125.1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12325</v>
      </c>
      <c r="E5" s="48">
        <f t="shared" si="0"/>
        <v>3157.5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11902.252500000001</v>
      </c>
      <c r="E6" s="49">
        <f>E5-(E5*$B$6)</f>
        <v>3049.1977499999998</v>
      </c>
      <c r="G6" s="22"/>
      <c r="H6" s="62" t="s">
        <v>28</v>
      </c>
      <c r="I6" s="76">
        <f>D33</f>
        <v>115.58901486374999</v>
      </c>
      <c r="J6" s="1">
        <f>'Consumption Details'!$B17</f>
        <v>1750</v>
      </c>
      <c r="K6" s="14">
        <f>J6-I6</f>
        <v>1634.41098513625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11623.7397915</v>
      </c>
      <c r="E7" s="49">
        <f>E6-(E6*$B$7)</f>
        <v>2977.8465226499998</v>
      </c>
      <c r="G7" s="22"/>
      <c r="H7" s="62" t="s">
        <v>29</v>
      </c>
      <c r="I7" s="76">
        <f t="shared" ref="I7:I9" si="1">D34</f>
        <v>6387.4489613708247</v>
      </c>
      <c r="J7" s="1">
        <f>'Consumption Details'!$C17</f>
        <v>9200</v>
      </c>
      <c r="K7" s="14">
        <f t="shared" ref="K7:K9" si="2">J7-I7</f>
        <v>2812.5510386291753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11397.07686556575</v>
      </c>
      <c r="E8" s="49">
        <f>E7-(E7*$B$8)</f>
        <v>2919.7785154583248</v>
      </c>
      <c r="G8" s="22"/>
      <c r="H8" s="62" t="s">
        <v>31</v>
      </c>
      <c r="I8" s="76">
        <f t="shared" si="1"/>
        <v>5409.5658956235002</v>
      </c>
      <c r="J8" s="1">
        <f>'Consumption Details'!D17</f>
        <v>16150</v>
      </c>
      <c r="K8" s="14">
        <f t="shared" si="2"/>
        <v>10740.4341043765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11397.07686556575</v>
      </c>
      <c r="E9" s="49">
        <f>E8</f>
        <v>2919.7785154583248</v>
      </c>
      <c r="G9" s="22"/>
      <c r="H9" s="62" t="s">
        <v>32</v>
      </c>
      <c r="I9" s="76">
        <f t="shared" si="1"/>
        <v>2404.2515091659998</v>
      </c>
      <c r="J9" s="1">
        <f>'Consumption Details'!$E17</f>
        <v>3550</v>
      </c>
      <c r="K9" s="14">
        <f t="shared" si="2"/>
        <v>1145.7484908340002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4.3547617766756455</v>
      </c>
      <c r="E10" s="49">
        <f>E4/E9</f>
        <v>4.1527464962857614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290.87</v>
      </c>
      <c r="E11" s="49">
        <f>(E3*1000*$B$11)+(E3*1000*$B$11*18%)</f>
        <v>74.516999999999996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Schedule'!AS$6</f>
        <v>0</v>
      </c>
      <c r="D12" s="34">
        <f>'Energy Schedule'!AT$6</f>
        <v>8.0399999999999991</v>
      </c>
      <c r="E12" s="34">
        <f>'Energy Schedule'!AU$6</f>
        <v>15.43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5639.92</v>
      </c>
      <c r="E13" s="49">
        <f>E3*$B$13</f>
        <v>1444.8720000000001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12.324999999999999</v>
      </c>
      <c r="E14" s="49">
        <f>E3*$B$14</f>
        <v>3.1575000000000002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3204.5</v>
      </c>
      <c r="E15" s="49">
        <f>E3*$B$15</f>
        <v>820.95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17.326895833333335</v>
      </c>
      <c r="E17" s="49">
        <f>E3*$B$17/24</f>
        <v>4.43891875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246.5</v>
      </c>
      <c r="E18" s="49">
        <f>E3*$B$18*1000</f>
        <v>63.150000000000013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22680.182962475843</v>
      </c>
      <c r="E19" s="49">
        <f>E9*$B$19</f>
        <v>5810.3592457620662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11852.959940188381</v>
      </c>
      <c r="E21" s="49">
        <f>E8*$B$21</f>
        <v>3036.5696560766578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143.60316850612844</v>
      </c>
      <c r="E23" s="49">
        <f>E9*$B$23*10.5%</f>
        <v>36.789209294774892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143.60316850612844</v>
      </c>
      <c r="E24" s="55">
        <f>E9*$B$24*10.5%</f>
        <v>36.789209294774892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44409.831135509819</v>
      </c>
      <c r="E25" s="59">
        <f>SUM(E11:E24)</f>
        <v>11517.022739178274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3.8965983698579993</v>
      </c>
      <c r="E26" s="58">
        <f>E25/E9</f>
        <v>3.9444850622069936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94041.38583550982</v>
      </c>
      <c r="E27" s="14">
        <f>E4+E25</f>
        <v>23642.122739178274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8.2513601465336439</v>
      </c>
      <c r="E28" s="16">
        <f>E27/E9</f>
        <v>8.097231558492755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125</v>
      </c>
      <c r="D33" s="23">
        <f>M39+M46+M53</f>
        <v>115.58901486374999</v>
      </c>
      <c r="E33" s="3">
        <f>D33*B33</f>
        <v>1289.5399470737109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6907.5</v>
      </c>
      <c r="D34" s="13">
        <f>M41+M48+M55</f>
        <v>6387.4489613708247</v>
      </c>
      <c r="E34" s="3">
        <f>D34*B34</f>
        <v>71259.977475293257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5850</v>
      </c>
      <c r="D35" s="13">
        <f>M38+M40+M45+M47+M52+M54</f>
        <v>5409.5658956235002</v>
      </c>
      <c r="E35" s="3">
        <f>D35*B35</f>
        <v>48280.375618439743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2599.9999999999995</v>
      </c>
      <c r="D36" s="13">
        <f>M37+M42+M44+M49+M51+M56</f>
        <v>2404.2515091659998</v>
      </c>
      <c r="E36" s="13">
        <f>D36*B36</f>
        <v>20385.047483341219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15482.5</v>
      </c>
      <c r="D37" s="12">
        <f>SUM(D33:D36)</f>
        <v>14316.855381024074</v>
      </c>
      <c r="E37" s="10">
        <f>SUM(E33:E36)</f>
        <v>141214.94052414794</v>
      </c>
      <c r="F37" s="23"/>
      <c r="G37" s="22"/>
      <c r="H37" s="14" t="s">
        <v>32</v>
      </c>
      <c r="I37" s="37">
        <f>SUM('Energy Schedule'!AS7:AS26)/4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Schedule'!AS27:AS30)/4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Schedule'!AS31:AS46)/4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Schedule'!AS47:AS78)/4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Schedule'!AS79:AS94)/4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15482.5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Schedule'!AS95:AS102)/4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14316.855381024074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117683.50857468809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Schedule'!AT7:AT26)/4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8.2199271727413574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Schedule'!AT27:AT30)/4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141214.94052414794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Schedule'!AT31:AT46)/4</f>
        <v>0.125</v>
      </c>
      <c r="J46" s="14">
        <f t="shared" si="4"/>
        <v>125</v>
      </c>
      <c r="K46" s="14">
        <f t="shared" si="5"/>
        <v>120.71250000000001</v>
      </c>
      <c r="L46" s="14">
        <f t="shared" si="6"/>
        <v>117.8878275</v>
      </c>
      <c r="M46" s="14">
        <f t="shared" si="7"/>
        <v>115.58901486374999</v>
      </c>
    </row>
    <row r="47" spans="1:15" ht="14.5" x14ac:dyDescent="0.3">
      <c r="A47" s="47" t="s">
        <v>159</v>
      </c>
      <c r="B47" s="46">
        <f>B46/B43</f>
        <v>9.8635445260778312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Schedule'!AT47:AT78)/4</f>
        <v>3.5</v>
      </c>
      <c r="J47" s="14">
        <f t="shared" si="4"/>
        <v>3500</v>
      </c>
      <c r="K47" s="14">
        <f t="shared" si="5"/>
        <v>3379.95</v>
      </c>
      <c r="L47" s="14">
        <f t="shared" si="6"/>
        <v>3300.8591699999997</v>
      </c>
      <c r="M47" s="14">
        <f t="shared" si="7"/>
        <v>3236.4924161849999</v>
      </c>
    </row>
    <row r="48" spans="1:15" ht="14.5" x14ac:dyDescent="0.3">
      <c r="A48" s="47" t="s">
        <v>19</v>
      </c>
      <c r="B48" s="7">
        <f>B46-B44</f>
        <v>23531.431949459846</v>
      </c>
      <c r="G48" s="22"/>
      <c r="H48" s="14" t="s">
        <v>29</v>
      </c>
      <c r="I48" s="39">
        <f>SUM('Energy Schedule'!AT79:AT94)/4</f>
        <v>6.25</v>
      </c>
      <c r="J48" s="14">
        <f t="shared" si="4"/>
        <v>6250</v>
      </c>
      <c r="K48" s="14">
        <f t="shared" si="5"/>
        <v>6035.625</v>
      </c>
      <c r="L48" s="14">
        <f t="shared" si="6"/>
        <v>5894.3913750000002</v>
      </c>
      <c r="M48" s="14">
        <f t="shared" si="7"/>
        <v>5779.4507431874999</v>
      </c>
    </row>
    <row r="49" spans="1:13" ht="14.5" x14ac:dyDescent="0.3">
      <c r="A49" s="47" t="s">
        <v>160</v>
      </c>
      <c r="B49" s="46">
        <f>B47-B45</f>
        <v>1.6436173533364737</v>
      </c>
      <c r="G49" s="22"/>
      <c r="H49" s="14" t="s">
        <v>32</v>
      </c>
      <c r="I49" s="37">
        <f>SUM('Energy Schedule'!AT95:AT102)/4</f>
        <v>0.45</v>
      </c>
      <c r="J49" s="14">
        <f t="shared" si="4"/>
        <v>450</v>
      </c>
      <c r="K49" s="14">
        <f t="shared" si="5"/>
        <v>434.565</v>
      </c>
      <c r="L49" s="14">
        <f t="shared" si="6"/>
        <v>424.39617900000002</v>
      </c>
      <c r="M49" s="14">
        <f t="shared" si="7"/>
        <v>416.12045350950001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Schedule'!AU7:AU26)/4</f>
        <v>0.65</v>
      </c>
      <c r="J51" s="14">
        <f t="shared" si="4"/>
        <v>650</v>
      </c>
      <c r="K51" s="14">
        <f t="shared" si="5"/>
        <v>627.70500000000004</v>
      </c>
      <c r="L51" s="14">
        <f t="shared" si="6"/>
        <v>613.01670300000001</v>
      </c>
      <c r="M51" s="14">
        <f t="shared" si="7"/>
        <v>601.06287729150006</v>
      </c>
    </row>
    <row r="52" spans="1:13" ht="14.5" x14ac:dyDescent="0.3">
      <c r="G52" s="22"/>
      <c r="H52" s="14" t="s">
        <v>31</v>
      </c>
      <c r="I52" s="38">
        <f>SUM('Energy Schedule'!AU27:AU30)/4</f>
        <v>0.15</v>
      </c>
      <c r="J52" s="14">
        <f t="shared" si="4"/>
        <v>150</v>
      </c>
      <c r="K52" s="14">
        <f t="shared" si="5"/>
        <v>144.85499999999999</v>
      </c>
      <c r="L52" s="14">
        <f t="shared" si="6"/>
        <v>141.46539299999998</v>
      </c>
      <c r="M52" s="14">
        <f t="shared" si="7"/>
        <v>138.70681783649997</v>
      </c>
    </row>
    <row r="53" spans="1:13" s="9" customFormat="1" ht="14.5" x14ac:dyDescent="0.3">
      <c r="G53" s="22"/>
      <c r="H53" s="14" t="s">
        <v>28</v>
      </c>
      <c r="I53" s="39">
        <f>SUM('Energy Schedule'!AU31:AU46)/4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Schedule'!AU47:AU78)/4</f>
        <v>1.7000000000000002</v>
      </c>
      <c r="J54" s="14">
        <f t="shared" si="4"/>
        <v>1700.0000000000002</v>
      </c>
      <c r="K54" s="14">
        <f>J54-(J54*$B$6)</f>
        <v>1641.6900000000003</v>
      </c>
      <c r="L54" s="14">
        <f t="shared" si="6"/>
        <v>1603.2744540000003</v>
      </c>
      <c r="M54" s="14">
        <f t="shared" si="7"/>
        <v>1572.0106021470003</v>
      </c>
    </row>
    <row r="55" spans="1:13" s="8" customFormat="1" ht="14.5" x14ac:dyDescent="0.3">
      <c r="G55" s="22"/>
      <c r="H55" s="14" t="s">
        <v>29</v>
      </c>
      <c r="I55" s="39">
        <f>SUM('Energy Schedule'!AU79:AU94)/4</f>
        <v>0.65749999999999997</v>
      </c>
      <c r="J55" s="14">
        <f t="shared" si="4"/>
        <v>657.5</v>
      </c>
      <c r="K55" s="14">
        <f t="shared" si="5"/>
        <v>634.94775000000004</v>
      </c>
      <c r="L55" s="14">
        <f t="shared" si="6"/>
        <v>620.08997265000005</v>
      </c>
      <c r="M55" s="14">
        <f t="shared" si="7"/>
        <v>607.99821818332509</v>
      </c>
    </row>
    <row r="56" spans="1:13" s="8" customFormat="1" ht="14.5" x14ac:dyDescent="0.3">
      <c r="G56" s="22"/>
      <c r="H56" s="14" t="s">
        <v>32</v>
      </c>
      <c r="I56" s="37">
        <f>SUM('Energy Schedule'!AU95:AU102)/4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9D4A-71F2-46A5-BBB8-26B86979E440}">
  <dimension ref="A2:O222"/>
  <sheetViews>
    <sheetView zoomScale="80" zoomScaleNormal="80" workbookViewId="0">
      <selection activeCell="J8" sqref="J8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Schedule'!AV$103</f>
        <v>0</v>
      </c>
      <c r="D3" s="33">
        <f>'Energy Schedule'!AW$103</f>
        <v>6.9249999999999998</v>
      </c>
      <c r="E3" s="33">
        <f>'Energy Schedule'!AX$103</f>
        <v>1.0249999999999999</v>
      </c>
      <c r="G3" s="22"/>
      <c r="H3" s="22"/>
    </row>
    <row r="4" spans="1:11" ht="14.5" x14ac:dyDescent="0.3">
      <c r="A4" s="31" t="s">
        <v>10</v>
      </c>
      <c r="B4" s="32"/>
      <c r="C4" s="34">
        <f>'Energy Schedule'!AV$5</f>
        <v>0</v>
      </c>
      <c r="D4" s="34">
        <f>'Energy Schedule'!AW$5</f>
        <v>28682.670600000001</v>
      </c>
      <c r="E4" s="34">
        <f>'Energy Schedule'!AX$5</f>
        <v>4361.8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6925</v>
      </c>
      <c r="E5" s="48">
        <f t="shared" si="0"/>
        <v>1025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6687.4724999999999</v>
      </c>
      <c r="E6" s="49">
        <f>E5-(E5*$B$6)</f>
        <v>989.84249999999997</v>
      </c>
      <c r="G6" s="22"/>
      <c r="H6" s="62" t="s">
        <v>28</v>
      </c>
      <c r="I6" s="76">
        <f>D33</f>
        <v>0</v>
      </c>
      <c r="J6" s="1">
        <f>'Consumption Details'!$B18</f>
        <v>1750</v>
      </c>
      <c r="K6" s="14">
        <f>J6-I6</f>
        <v>1750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6530.9856435000002</v>
      </c>
      <c r="E7" s="49">
        <f>E6-(E6*$B$7)</f>
        <v>966.68018549999999</v>
      </c>
      <c r="G7" s="22"/>
      <c r="H7" s="62" t="s">
        <v>29</v>
      </c>
      <c r="I7" s="76">
        <f t="shared" ref="I7:I9" si="1">D34</f>
        <v>3930.0265053674998</v>
      </c>
      <c r="J7" s="1">
        <f>'Consumption Details'!$C18</f>
        <v>9500</v>
      </c>
      <c r="K7" s="14">
        <f t="shared" ref="K7:K9" si="2">J7-I7</f>
        <v>5569.9734946325007</v>
      </c>
    </row>
    <row r="8" spans="1:11" ht="14.5" x14ac:dyDescent="0.3">
      <c r="A8" s="40" t="s">
        <v>49</v>
      </c>
      <c r="B8" s="67">
        <f>'TNEB Charges'!B2</f>
        <v>1.95E-2</v>
      </c>
      <c r="C8" s="49">
        <f>C7-(C7*$B$8)</f>
        <v>0</v>
      </c>
      <c r="D8" s="49">
        <f>D7-(D7*$B$8)</f>
        <v>6403.6314234517504</v>
      </c>
      <c r="E8" s="49">
        <f>E7-(E7*$B$8)</f>
        <v>947.82992188275</v>
      </c>
      <c r="G8" s="22"/>
      <c r="H8" s="62" t="s">
        <v>31</v>
      </c>
      <c r="I8" s="76">
        <f t="shared" si="1"/>
        <v>1410.18598133775</v>
      </c>
      <c r="J8" s="1">
        <f>'Consumption Details'!$D18</f>
        <v>17200</v>
      </c>
      <c r="K8" s="14">
        <f t="shared" si="2"/>
        <v>15789.81401866225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6403.6314234517504</v>
      </c>
      <c r="E9" s="49">
        <f>E8</f>
        <v>947.82992188275</v>
      </c>
      <c r="G9" s="22"/>
      <c r="H9" s="62" t="s">
        <v>32</v>
      </c>
      <c r="I9" s="76">
        <f t="shared" si="1"/>
        <v>2011.2488586292493</v>
      </c>
      <c r="J9" s="1">
        <f>'Consumption Details'!$E18</f>
        <v>3900</v>
      </c>
      <c r="K9" s="14">
        <f t="shared" si="2"/>
        <v>1888.7511413707507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4.4791257808743739</v>
      </c>
      <c r="E10" s="49">
        <f>E4/E9</f>
        <v>4.6018804632542194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163.43</v>
      </c>
      <c r="E11" s="49">
        <f>(E3*1000*$B$11)+(E3*1000*$B$11*18%)</f>
        <v>24.19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Schedule'!AV$6</f>
        <v>0</v>
      </c>
      <c r="D12" s="34">
        <f>'Energy Schedule'!AW$6</f>
        <v>8.59</v>
      </c>
      <c r="E12" s="34">
        <f>'Energy Schedule'!AX$6</f>
        <v>24.39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3168.88</v>
      </c>
      <c r="E13" s="49">
        <f>E3*$B$13</f>
        <v>469.03999999999996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6.9249999999999998</v>
      </c>
      <c r="E14" s="49">
        <f>E3*$B$14</f>
        <v>1.0249999999999999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1800.5</v>
      </c>
      <c r="E15" s="49">
        <f>E3*$B$15</f>
        <v>266.5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9.7353958333333335</v>
      </c>
      <c r="E17" s="49">
        <f>E3*$B$17/24</f>
        <v>1.4409791666666667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138.5</v>
      </c>
      <c r="E18" s="49">
        <f>E3*$B$18*1000</f>
        <v>20.499999999999996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12743.226532668983</v>
      </c>
      <c r="E19" s="49">
        <f>E9*$B$19</f>
        <v>1886.1815445466725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6659.7766803898203</v>
      </c>
      <c r="E21" s="49">
        <f>E8*$B$21</f>
        <v>985.74311875806006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80.685755935492054</v>
      </c>
      <c r="E23" s="49">
        <f>E9*$B$23*10.5%</f>
        <v>11.942657015722649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80.685755935492054</v>
      </c>
      <c r="E24" s="55">
        <f>E9*$B$24*10.5%</f>
        <v>11.942657015722649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25030.935120763119</v>
      </c>
      <c r="E25" s="59">
        <f>SUM(E11:E24)</f>
        <v>3872.895956502844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3.9088656834766251</v>
      </c>
      <c r="E26" s="58">
        <f>E25/E9</f>
        <v>4.0860663575695124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53713.605720763124</v>
      </c>
      <c r="E27" s="14">
        <f>E4+E25</f>
        <v>8234.6959565028446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8.3879914643509998</v>
      </c>
      <c r="E28" s="16">
        <f>E27/E9</f>
        <v>8.6879468208237327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0</v>
      </c>
      <c r="D33" s="23">
        <f>M39+M46+M53</f>
        <v>0</v>
      </c>
      <c r="E33" s="3">
        <f>D33*B33</f>
        <v>0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4250</v>
      </c>
      <c r="D34" s="13">
        <f>M41+M48+M55</f>
        <v>3930.0265053674998</v>
      </c>
      <c r="E34" s="3">
        <f>D34*B34</f>
        <v>43844.358200506169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1525</v>
      </c>
      <c r="D35" s="13">
        <f>M38+M40+M45+M47+M52+M54</f>
        <v>1410.18598133775</v>
      </c>
      <c r="E35" s="3">
        <f>D35*B35</f>
        <v>12585.909883439421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2174.9999999999995</v>
      </c>
      <c r="D36" s="13">
        <f>M37+M42+M44+M49+M51+M56</f>
        <v>2011.2488586292493</v>
      </c>
      <c r="E36" s="13">
        <f>D36*B36</f>
        <v>17052.876260102748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7950</v>
      </c>
      <c r="D37" s="12">
        <f>SUM(D33:D36)</f>
        <v>7351.4613453344991</v>
      </c>
      <c r="E37" s="10">
        <f>SUM(E33:E36)</f>
        <v>73483.144344048342</v>
      </c>
      <c r="F37" s="23"/>
      <c r="G37" s="22"/>
      <c r="H37" s="14" t="s">
        <v>32</v>
      </c>
      <c r="I37" s="37">
        <f>SUM('Energy Schedule'!AV7:AV26)/4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Schedule'!AV27:AV30)/4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Schedule'!AV31:AV46)/4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Schedule'!AV47:AV78)/4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Schedule'!AV79:AV94)/4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7950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Schedule'!AV95:AV102)/4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7351.4613453344991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61948.301677265968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Schedule'!AW7:AW26)/4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8.4266649537075491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Schedule'!AW27:AW30)/4</f>
        <v>0.375</v>
      </c>
      <c r="J45" s="14">
        <f t="shared" si="4"/>
        <v>375</v>
      </c>
      <c r="K45" s="14">
        <f t="shared" si="5"/>
        <v>362.13749999999999</v>
      </c>
      <c r="L45" s="14">
        <f t="shared" si="6"/>
        <v>353.66348249999999</v>
      </c>
      <c r="M45" s="14">
        <f t="shared" si="7"/>
        <v>346.76704459125</v>
      </c>
    </row>
    <row r="46" spans="1:15" ht="14.5" x14ac:dyDescent="0.3">
      <c r="A46" s="47" t="s">
        <v>18</v>
      </c>
      <c r="B46" s="7">
        <f>E37</f>
        <v>73483.144344048342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Schedule'!AW31:AW46)/4</f>
        <v>0</v>
      </c>
      <c r="J46" s="14">
        <f t="shared" si="4"/>
        <v>0</v>
      </c>
      <c r="K46" s="14">
        <f t="shared" si="5"/>
        <v>0</v>
      </c>
      <c r="L46" s="14">
        <f t="shared" si="6"/>
        <v>0</v>
      </c>
      <c r="M46" s="14">
        <f t="shared" si="7"/>
        <v>0</v>
      </c>
    </row>
    <row r="47" spans="1:15" ht="14.5" x14ac:dyDescent="0.3">
      <c r="A47" s="47" t="s">
        <v>159</v>
      </c>
      <c r="B47" s="46">
        <f>B46/B43</f>
        <v>9.9957193396226423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Schedule'!AW47:AW78)/4</f>
        <v>1</v>
      </c>
      <c r="J47" s="14">
        <f t="shared" si="4"/>
        <v>1000</v>
      </c>
      <c r="K47" s="14">
        <f t="shared" si="5"/>
        <v>965.7</v>
      </c>
      <c r="L47" s="14">
        <f t="shared" si="6"/>
        <v>943.10262</v>
      </c>
      <c r="M47" s="14">
        <f t="shared" si="7"/>
        <v>924.71211890999996</v>
      </c>
    </row>
    <row r="48" spans="1:15" ht="14.5" x14ac:dyDescent="0.3">
      <c r="A48" s="47" t="s">
        <v>19</v>
      </c>
      <c r="B48" s="7">
        <f>B46-B44</f>
        <v>11534.842666782373</v>
      </c>
      <c r="G48" s="22"/>
      <c r="H48" s="14" t="s">
        <v>29</v>
      </c>
      <c r="I48" s="39">
        <f>SUM('Energy Schedule'!AW79:AW94)/4</f>
        <v>3.75</v>
      </c>
      <c r="J48" s="14">
        <f t="shared" si="4"/>
        <v>3750</v>
      </c>
      <c r="K48" s="14">
        <f t="shared" si="5"/>
        <v>3621.375</v>
      </c>
      <c r="L48" s="14">
        <f t="shared" si="6"/>
        <v>3536.6348250000001</v>
      </c>
      <c r="M48" s="14">
        <f t="shared" si="7"/>
        <v>3467.6704459124999</v>
      </c>
    </row>
    <row r="49" spans="1:13" ht="14.5" x14ac:dyDescent="0.3">
      <c r="A49" s="47" t="s">
        <v>160</v>
      </c>
      <c r="B49" s="46">
        <f>B47-B45</f>
        <v>1.5690543859150932</v>
      </c>
      <c r="G49" s="22"/>
      <c r="H49" s="14" t="s">
        <v>32</v>
      </c>
      <c r="I49" s="37">
        <f>SUM('Energy Schedule'!AW95:AW102)/4</f>
        <v>0.3</v>
      </c>
      <c r="J49" s="14">
        <f t="shared" si="4"/>
        <v>300</v>
      </c>
      <c r="K49" s="14">
        <f t="shared" si="5"/>
        <v>289.70999999999998</v>
      </c>
      <c r="L49" s="14">
        <f t="shared" si="6"/>
        <v>282.93078599999996</v>
      </c>
      <c r="M49" s="14">
        <f t="shared" si="7"/>
        <v>277.41363567299993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Schedule'!AX7:AX26)/4</f>
        <v>0.375</v>
      </c>
      <c r="J51" s="14">
        <f t="shared" si="4"/>
        <v>375</v>
      </c>
      <c r="K51" s="14">
        <f t="shared" si="5"/>
        <v>362.13749999999999</v>
      </c>
      <c r="L51" s="14">
        <f t="shared" si="6"/>
        <v>353.66348249999999</v>
      </c>
      <c r="M51" s="14">
        <f t="shared" si="7"/>
        <v>346.76704459125</v>
      </c>
    </row>
    <row r="52" spans="1:13" ht="14.5" x14ac:dyDescent="0.3">
      <c r="G52" s="22"/>
      <c r="H52" s="14" t="s">
        <v>31</v>
      </c>
      <c r="I52" s="38">
        <f>SUM('Energy Schedule'!AX27:AX30)/4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Schedule'!AX31:AX46)/4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Schedule'!AX47:AX78)/4</f>
        <v>0.15</v>
      </c>
      <c r="J54" s="14">
        <f t="shared" si="4"/>
        <v>150</v>
      </c>
      <c r="K54" s="14">
        <f>J54-(J54*$B$6)</f>
        <v>144.85499999999999</v>
      </c>
      <c r="L54" s="14">
        <f t="shared" si="6"/>
        <v>141.46539299999998</v>
      </c>
      <c r="M54" s="14">
        <f t="shared" si="7"/>
        <v>138.70681783649997</v>
      </c>
    </row>
    <row r="55" spans="1:13" s="8" customFormat="1" ht="14.5" x14ac:dyDescent="0.3">
      <c r="G55" s="22"/>
      <c r="H55" s="14" t="s">
        <v>29</v>
      </c>
      <c r="I55" s="39">
        <f>SUM('Energy Schedule'!AX79:AX94)/4</f>
        <v>0.5</v>
      </c>
      <c r="J55" s="14">
        <f t="shared" si="4"/>
        <v>500</v>
      </c>
      <c r="K55" s="14">
        <f t="shared" si="5"/>
        <v>482.85</v>
      </c>
      <c r="L55" s="14">
        <f t="shared" si="6"/>
        <v>471.55131</v>
      </c>
      <c r="M55" s="14">
        <f t="shared" si="7"/>
        <v>462.35605945499998</v>
      </c>
    </row>
    <row r="56" spans="1:13" s="8" customFormat="1" ht="14.5" x14ac:dyDescent="0.3">
      <c r="G56" s="22"/>
      <c r="H56" s="14" t="s">
        <v>32</v>
      </c>
      <c r="I56" s="37">
        <f>SUM('Energy Schedule'!AX95:AX102)/4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53F3-2C6B-40BA-9E54-26637594CD7B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Schedule'!AY$103</f>
        <v>0</v>
      </c>
      <c r="D3" s="33">
        <f>'Energy Schedule'!AZ$103</f>
        <v>6.9424999999999999</v>
      </c>
      <c r="E3" s="33">
        <f>'Energy Schedule'!BA$103</f>
        <v>3.15</v>
      </c>
      <c r="G3" s="22"/>
      <c r="H3" s="22"/>
    </row>
    <row r="4" spans="1:11" ht="14.5" x14ac:dyDescent="0.3">
      <c r="A4" s="31" t="s">
        <v>10</v>
      </c>
      <c r="B4" s="32"/>
      <c r="C4" s="34">
        <f>'Energy Schedule'!AY$5</f>
        <v>0</v>
      </c>
      <c r="D4" s="34">
        <f>'Energy Schedule'!AZ$5</f>
        <v>29034.377700000001</v>
      </c>
      <c r="E4" s="34">
        <f>'Energy Schedule'!BA$5</f>
        <v>11232.94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6942.5</v>
      </c>
      <c r="E5" s="48">
        <f t="shared" si="0"/>
        <v>3150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6704.3722500000003</v>
      </c>
      <c r="E6" s="49">
        <f>E5-(E5*$B$6)</f>
        <v>3041.9549999999999</v>
      </c>
      <c r="G6" s="22"/>
      <c r="H6" s="62" t="s">
        <v>28</v>
      </c>
      <c r="I6" s="76">
        <f>D33</f>
        <v>0</v>
      </c>
      <c r="J6" s="1">
        <f>'Consumption Details'!$B19</f>
        <v>2500</v>
      </c>
      <c r="K6" s="14">
        <f>J6-I6</f>
        <v>2500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6547.48993935</v>
      </c>
      <c r="E7" s="49">
        <f>E6-(E6*$B$7)</f>
        <v>2970.7732529999998</v>
      </c>
      <c r="G7" s="22"/>
      <c r="H7" s="62" t="s">
        <v>29</v>
      </c>
      <c r="I7" s="76">
        <f t="shared" ref="I7:I9" si="1">D34</f>
        <v>4184.32233806775</v>
      </c>
      <c r="J7" s="1">
        <f>'Consumption Details'!$C19</f>
        <v>10000</v>
      </c>
      <c r="K7" s="14">
        <f t="shared" ref="K7:K9" si="2">J7-I7</f>
        <v>5815.67766193225</v>
      </c>
    </row>
    <row r="8" spans="1:11" ht="14.5" x14ac:dyDescent="0.3">
      <c r="A8" s="40" t="s">
        <v>49</v>
      </c>
      <c r="B8" s="67">
        <f>'TNEB Charges'!B2</f>
        <v>1.95E-2</v>
      </c>
      <c r="C8" s="49">
        <f>C7-(C7*$B$8)</f>
        <v>0</v>
      </c>
      <c r="D8" s="49">
        <f>D7-(D7*$B$8)</f>
        <v>6419.8138855326752</v>
      </c>
      <c r="E8" s="49">
        <f>E7-(E7*$B$8)</f>
        <v>2912.8431745664998</v>
      </c>
      <c r="G8" s="22"/>
      <c r="H8" s="62" t="s">
        <v>31</v>
      </c>
      <c r="I8" s="76">
        <f t="shared" si="1"/>
        <v>2998.3790455656745</v>
      </c>
      <c r="J8" s="1">
        <f>'Consumption Details'!$D19</f>
        <v>19650</v>
      </c>
      <c r="K8" s="14">
        <f t="shared" si="2"/>
        <v>16651.620954434326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6419.8138855326752</v>
      </c>
      <c r="E9" s="49">
        <f>E8</f>
        <v>2912.8431745664998</v>
      </c>
      <c r="G9" s="22"/>
      <c r="H9" s="62" t="s">
        <v>32</v>
      </c>
      <c r="I9" s="76">
        <f t="shared" si="1"/>
        <v>2149.9556764657491</v>
      </c>
      <c r="J9" s="1">
        <f>'Consumption Details'!$E19</f>
        <v>4000</v>
      </c>
      <c r="K9" s="14">
        <f t="shared" si="2"/>
        <v>1850.0443235342509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4.5226198481283406</v>
      </c>
      <c r="E10" s="49">
        <f>E4/E9</f>
        <v>3.8563490468970163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163.84299999999999</v>
      </c>
      <c r="E11" s="49">
        <f>(E3*1000*$B$11)+(E3*1000*$B$11*18%)</f>
        <v>74.34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Schedule'!AY$6</f>
        <v>0</v>
      </c>
      <c r="D12" s="34">
        <f>'Energy Schedule'!AZ$6</f>
        <v>8.5</v>
      </c>
      <c r="E12" s="34">
        <f>'Energy Schedule'!BA$6</f>
        <v>18.66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3176.8879999999999</v>
      </c>
      <c r="E13" s="49">
        <f>E3*$B$13</f>
        <v>1441.44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6.9424999999999999</v>
      </c>
      <c r="E14" s="49">
        <f>E3*$B$14</f>
        <v>3.15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1805.05</v>
      </c>
      <c r="E15" s="49">
        <f>E3*$B$15</f>
        <v>819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9.7599979166666682</v>
      </c>
      <c r="E17" s="49">
        <f>E3*$B$17/24</f>
        <v>4.428375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138.85</v>
      </c>
      <c r="E18" s="49">
        <f>E3*$B$18*1000</f>
        <v>63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12775.429632210024</v>
      </c>
      <c r="E19" s="49">
        <f>E9*$B$19</f>
        <v>5796.5579173873348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6676.6064409539822</v>
      </c>
      <c r="E21" s="49">
        <f>E8*$B$21</f>
        <v>3029.3569015491598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80.889654957711699</v>
      </c>
      <c r="E23" s="49">
        <f>E9*$B$23*10.5%</f>
        <v>36.701823999537893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80.889654957711699</v>
      </c>
      <c r="E24" s="55">
        <f>E9*$B$24*10.5%</f>
        <v>36.701823999537893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25093.648880996097</v>
      </c>
      <c r="E25" s="59">
        <f>SUM(E11:E24)</f>
        <v>11493.33684193557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3.9087813647597645</v>
      </c>
      <c r="E26" s="58">
        <f>E25/E9</f>
        <v>3.9457451545245141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54128.026580996098</v>
      </c>
      <c r="E27" s="14">
        <f>E4+E25</f>
        <v>22726.276841935571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8.4314012128881046</v>
      </c>
      <c r="E28" s="16">
        <f>E27/E9</f>
        <v>7.8020942014215304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0</v>
      </c>
      <c r="D33" s="23">
        <f>M39+M46+M53</f>
        <v>0</v>
      </c>
      <c r="E33" s="3">
        <f>D33*B33</f>
        <v>0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4525</v>
      </c>
      <c r="D34" s="13">
        <f>M41+M48+M55</f>
        <v>4184.32233806775</v>
      </c>
      <c r="E34" s="3">
        <f>D34*B34</f>
        <v>46681.346084068333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3242.5</v>
      </c>
      <c r="D35" s="13">
        <f>M38+M40+M45+M47+M52+M54</f>
        <v>2998.3790455656745</v>
      </c>
      <c r="E35" s="3">
        <f>D35*B35</f>
        <v>26760.532981673648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2324.9999999999995</v>
      </c>
      <c r="D36" s="13">
        <f>M37+M42+M44+M49+M51+M56</f>
        <v>2149.9556764657491</v>
      </c>
      <c r="E36" s="13">
        <f>D36*B36</f>
        <v>18228.936691833969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10092.5</v>
      </c>
      <c r="D37" s="12">
        <f>SUM(D33:D36)</f>
        <v>9332.6570600991727</v>
      </c>
      <c r="E37" s="10">
        <f>SUM(E33:E36)</f>
        <v>91670.815757575954</v>
      </c>
      <c r="F37" s="23"/>
      <c r="G37" s="22"/>
      <c r="H37" s="14" t="s">
        <v>32</v>
      </c>
      <c r="I37" s="37">
        <f>SUM('Energy Schedule'!AY7:AY26)/4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Schedule'!AY27:AY30)/4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Schedule'!AY31:AY46)/4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Schedule'!AY47:AY78)/4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Schedule'!AY79:AY94)/4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10092.5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Schedule'!AY95:AY102)/4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9332.6570600991727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76854.303422931669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Schedule'!AZ7:AZ26)/4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8.2349863418333928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Schedule'!AZ27:AZ30)/4</f>
        <v>0.25</v>
      </c>
      <c r="J45" s="14">
        <f t="shared" si="4"/>
        <v>250</v>
      </c>
      <c r="K45" s="14">
        <f t="shared" si="5"/>
        <v>241.42500000000001</v>
      </c>
      <c r="L45" s="14">
        <f t="shared" si="6"/>
        <v>235.775655</v>
      </c>
      <c r="M45" s="14">
        <f t="shared" si="7"/>
        <v>231.17802972749999</v>
      </c>
    </row>
    <row r="46" spans="1:15" ht="14.5" x14ac:dyDescent="0.3">
      <c r="A46" s="47" t="s">
        <v>18</v>
      </c>
      <c r="B46" s="7">
        <f>E37</f>
        <v>91670.815757575954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Schedule'!AZ31:AZ46)/4</f>
        <v>0</v>
      </c>
      <c r="J46" s="14">
        <f t="shared" si="4"/>
        <v>0</v>
      </c>
      <c r="K46" s="14">
        <f t="shared" si="5"/>
        <v>0</v>
      </c>
      <c r="L46" s="14">
        <f t="shared" si="6"/>
        <v>0</v>
      </c>
      <c r="M46" s="14">
        <f t="shared" si="7"/>
        <v>0</v>
      </c>
    </row>
    <row r="47" spans="1:15" ht="14.5" x14ac:dyDescent="0.3">
      <c r="A47" s="47" t="s">
        <v>159</v>
      </c>
      <c r="B47" s="46">
        <f>B46/B43</f>
        <v>9.8225848402278935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Schedule'!AZ47:AZ78)/4</f>
        <v>0.59250000000000003</v>
      </c>
      <c r="J47" s="14">
        <f t="shared" si="4"/>
        <v>592.5</v>
      </c>
      <c r="K47" s="14">
        <f t="shared" si="5"/>
        <v>572.17724999999996</v>
      </c>
      <c r="L47" s="14">
        <f t="shared" si="6"/>
        <v>558.78830234999998</v>
      </c>
      <c r="M47" s="14">
        <f t="shared" si="7"/>
        <v>547.89193045417494</v>
      </c>
    </row>
    <row r="48" spans="1:15" ht="14.5" x14ac:dyDescent="0.3">
      <c r="A48" s="47" t="s">
        <v>19</v>
      </c>
      <c r="B48" s="7">
        <f>B46-B44</f>
        <v>14816.512334644285</v>
      </c>
      <c r="G48" s="22"/>
      <c r="H48" s="14" t="s">
        <v>29</v>
      </c>
      <c r="I48" s="39">
        <f>SUM('Energy Schedule'!AZ79:AZ94)/4</f>
        <v>4.375</v>
      </c>
      <c r="J48" s="14">
        <f t="shared" si="4"/>
        <v>4375</v>
      </c>
      <c r="K48" s="14">
        <f t="shared" si="5"/>
        <v>4224.9375</v>
      </c>
      <c r="L48" s="14">
        <f t="shared" si="6"/>
        <v>4126.0739624999997</v>
      </c>
      <c r="M48" s="14">
        <f t="shared" si="7"/>
        <v>4045.6155202312498</v>
      </c>
    </row>
    <row r="49" spans="1:13" ht="14.5" x14ac:dyDescent="0.3">
      <c r="A49" s="47" t="s">
        <v>160</v>
      </c>
      <c r="B49" s="46">
        <f>B47-B45</f>
        <v>1.5875984983945006</v>
      </c>
      <c r="G49" s="22"/>
      <c r="H49" s="14" t="s">
        <v>32</v>
      </c>
      <c r="I49" s="37">
        <f>SUM('Energy Schedule'!AZ95:AZ102)/4</f>
        <v>0.22499999999999998</v>
      </c>
      <c r="J49" s="14">
        <f t="shared" si="4"/>
        <v>224.99999999999997</v>
      </c>
      <c r="K49" s="14">
        <f t="shared" si="5"/>
        <v>217.28249999999997</v>
      </c>
      <c r="L49" s="14">
        <f t="shared" si="6"/>
        <v>212.19808949999998</v>
      </c>
      <c r="M49" s="14">
        <f t="shared" si="7"/>
        <v>208.06022675474998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Schedule'!BA7:BA26)/4</f>
        <v>0.6</v>
      </c>
      <c r="J51" s="14">
        <f t="shared" si="4"/>
        <v>600</v>
      </c>
      <c r="K51" s="14">
        <f t="shared" si="5"/>
        <v>579.41999999999996</v>
      </c>
      <c r="L51" s="14">
        <f t="shared" si="6"/>
        <v>565.86157199999991</v>
      </c>
      <c r="M51" s="14">
        <f t="shared" si="7"/>
        <v>554.82727134599986</v>
      </c>
    </row>
    <row r="52" spans="1:13" ht="14.5" x14ac:dyDescent="0.3">
      <c r="G52" s="22"/>
      <c r="H52" s="14" t="s">
        <v>31</v>
      </c>
      <c r="I52" s="38">
        <f>SUM('Energy Schedule'!BA27:BA30)/4</f>
        <v>0.3</v>
      </c>
      <c r="J52" s="14">
        <f t="shared" si="4"/>
        <v>300</v>
      </c>
      <c r="K52" s="14">
        <f t="shared" si="5"/>
        <v>289.70999999999998</v>
      </c>
      <c r="L52" s="14">
        <f t="shared" si="6"/>
        <v>282.93078599999996</v>
      </c>
      <c r="M52" s="14">
        <f t="shared" si="7"/>
        <v>277.41363567299993</v>
      </c>
    </row>
    <row r="53" spans="1:13" s="9" customFormat="1" ht="14.5" x14ac:dyDescent="0.3">
      <c r="G53" s="22"/>
      <c r="H53" s="14" t="s">
        <v>28</v>
      </c>
      <c r="I53" s="39">
        <f>SUM('Energy Schedule'!BA31:BA46)/4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Schedule'!BA47:BA78)/4</f>
        <v>2.1</v>
      </c>
      <c r="J54" s="14">
        <f t="shared" si="4"/>
        <v>2100</v>
      </c>
      <c r="K54" s="14">
        <f>J54-(J54*$B$6)</f>
        <v>2027.97</v>
      </c>
      <c r="L54" s="14">
        <f t="shared" si="6"/>
        <v>1980.515502</v>
      </c>
      <c r="M54" s="14">
        <f t="shared" si="7"/>
        <v>1941.8954497109999</v>
      </c>
    </row>
    <row r="55" spans="1:13" s="8" customFormat="1" ht="14.5" x14ac:dyDescent="0.3">
      <c r="G55" s="22"/>
      <c r="H55" s="14" t="s">
        <v>29</v>
      </c>
      <c r="I55" s="39">
        <f>SUM('Energy Schedule'!BA79:BA94)/4</f>
        <v>0.15</v>
      </c>
      <c r="J55" s="14">
        <f t="shared" si="4"/>
        <v>150</v>
      </c>
      <c r="K55" s="14">
        <f t="shared" si="5"/>
        <v>144.85499999999999</v>
      </c>
      <c r="L55" s="14">
        <f t="shared" si="6"/>
        <v>141.46539299999998</v>
      </c>
      <c r="M55" s="14">
        <f t="shared" si="7"/>
        <v>138.70681783649997</v>
      </c>
    </row>
    <row r="56" spans="1:13" s="8" customFormat="1" ht="14.5" x14ac:dyDescent="0.3">
      <c r="G56" s="22"/>
      <c r="H56" s="14" t="s">
        <v>32</v>
      </c>
      <c r="I56" s="37">
        <f>SUM('Energy Schedule'!BA95:BA102)/4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A81D-7452-427D-8760-66BBD712D01C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2" x14ac:dyDescent="0.3">
      <c r="C2" s="2" t="s">
        <v>46</v>
      </c>
      <c r="D2" s="2" t="s">
        <v>12</v>
      </c>
      <c r="E2" s="2" t="s">
        <v>16</v>
      </c>
    </row>
    <row r="3" spans="1:12" ht="14.5" x14ac:dyDescent="0.3">
      <c r="A3" s="29" t="s">
        <v>59</v>
      </c>
      <c r="B3" s="30"/>
      <c r="C3" s="33">
        <f>'Energy Schedule'!BB$103</f>
        <v>0</v>
      </c>
      <c r="D3" s="33">
        <f>'Energy Schedule'!BC$103</f>
        <v>10.3</v>
      </c>
      <c r="E3" s="33">
        <f>'Energy Schedule'!BD$103</f>
        <v>7.8250000000000002</v>
      </c>
      <c r="G3" s="22"/>
      <c r="H3" s="22"/>
    </row>
    <row r="4" spans="1:12" ht="14.5" x14ac:dyDescent="0.3">
      <c r="A4" s="31" t="s">
        <v>10</v>
      </c>
      <c r="B4" s="32"/>
      <c r="C4" s="34">
        <f>'Energy Schedule'!BB$5</f>
        <v>0</v>
      </c>
      <c r="D4" s="34">
        <f>'Energy Schedule'!BC$5</f>
        <v>44876.773099999999</v>
      </c>
      <c r="E4" s="34">
        <f>'Energy Schedule'!BD$5</f>
        <v>36010.11</v>
      </c>
      <c r="G4" s="22"/>
      <c r="H4" s="22"/>
    </row>
    <row r="5" spans="1:12" ht="14.5" x14ac:dyDescent="0.3">
      <c r="A5" s="40" t="s">
        <v>58</v>
      </c>
      <c r="C5" s="48">
        <f>C3*1000</f>
        <v>0</v>
      </c>
      <c r="D5" s="48">
        <f t="shared" ref="D5:E5" si="0">D3*1000</f>
        <v>10300</v>
      </c>
      <c r="E5" s="48">
        <f t="shared" si="0"/>
        <v>7825</v>
      </c>
      <c r="G5" s="22"/>
      <c r="H5" s="62"/>
      <c r="I5" s="1" t="s">
        <v>168</v>
      </c>
      <c r="J5" s="1" t="s">
        <v>167</v>
      </c>
      <c r="K5" s="1" t="s">
        <v>36</v>
      </c>
    </row>
    <row r="6" spans="1:12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9946.7099999999991</v>
      </c>
      <c r="E6" s="49">
        <f>E5-(E5*$B$6)</f>
        <v>7556.6025</v>
      </c>
      <c r="G6" s="22"/>
      <c r="H6" s="62" t="s">
        <v>28</v>
      </c>
      <c r="I6" s="76">
        <f>D33</f>
        <v>693.5340891825</v>
      </c>
      <c r="J6" s="1">
        <f>'Consumption Details'!$B20</f>
        <v>2500</v>
      </c>
      <c r="K6" s="14">
        <f>J6-I6</f>
        <v>1806.4659108175001</v>
      </c>
      <c r="L6" s="14"/>
    </row>
    <row r="7" spans="1:12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9713.9569859999992</v>
      </c>
      <c r="E7" s="49">
        <f>E6-(E6*$B$7)</f>
        <v>7379.7780014999998</v>
      </c>
      <c r="G7" s="22"/>
      <c r="H7" s="62" t="s">
        <v>29</v>
      </c>
      <c r="I7" s="76">
        <f t="shared" ref="I7:I9" si="1">D34</f>
        <v>9247.1211891000003</v>
      </c>
      <c r="J7" s="1">
        <f>'Consumption Details'!$C20</f>
        <v>11000</v>
      </c>
      <c r="K7" s="14">
        <f t="shared" ref="K7:K9" si="2">J7-I7</f>
        <v>1752.8788108999997</v>
      </c>
      <c r="L7" s="14"/>
    </row>
    <row r="8" spans="1:12" ht="14.5" x14ac:dyDescent="0.3">
      <c r="A8" s="40" t="s">
        <v>49</v>
      </c>
      <c r="B8" s="67">
        <f>'TNEB Charges'!B2</f>
        <v>1.95E-2</v>
      </c>
      <c r="C8" s="49">
        <f>C7-(C7*$B$8)</f>
        <v>0</v>
      </c>
      <c r="D8" s="49">
        <f>D7-(D7*$B$8)</f>
        <v>9524.5348247729999</v>
      </c>
      <c r="E8" s="49">
        <f>E7-(E7*$B$8)</f>
        <v>7235.8723304707501</v>
      </c>
      <c r="G8" s="22"/>
      <c r="H8" s="62" t="s">
        <v>31</v>
      </c>
      <c r="I8" s="76">
        <f t="shared" si="1"/>
        <v>4531.089382659</v>
      </c>
      <c r="J8" s="1">
        <f>'Consumption Details'!$D20</f>
        <v>21000</v>
      </c>
      <c r="K8" s="14">
        <f t="shared" si="2"/>
        <v>16468.910617341</v>
      </c>
      <c r="L8" s="14"/>
    </row>
    <row r="9" spans="1:12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9524.5348247729999</v>
      </c>
      <c r="E9" s="49">
        <f>E8</f>
        <v>7235.8723304707501</v>
      </c>
      <c r="G9" s="22"/>
      <c r="H9" s="62" t="s">
        <v>32</v>
      </c>
      <c r="I9" s="76">
        <f t="shared" si="1"/>
        <v>2288.6624943022493</v>
      </c>
      <c r="J9" s="1">
        <f>'Consumption Details'!$E20</f>
        <v>4050</v>
      </c>
      <c r="K9" s="14">
        <f t="shared" si="2"/>
        <v>1761.3375056977507</v>
      </c>
      <c r="L9" s="14"/>
    </row>
    <row r="10" spans="1:12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4.7117023482634552</v>
      </c>
      <c r="E10" s="49">
        <f>E4/E9</f>
        <v>4.9766093644796605</v>
      </c>
      <c r="G10" s="22"/>
      <c r="H10" s="22"/>
    </row>
    <row r="11" spans="1:12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243.07999999999998</v>
      </c>
      <c r="E11" s="49">
        <f>(E3*1000*$B$11)+(E3*1000*$B$11*18%)</f>
        <v>184.67</v>
      </c>
      <c r="G11" s="22"/>
      <c r="H11" s="22"/>
    </row>
    <row r="12" spans="1:12" ht="14.5" x14ac:dyDescent="0.3">
      <c r="A12" s="40" t="s">
        <v>52</v>
      </c>
      <c r="B12" s="64">
        <f>'TNEB Charges'!B6</f>
        <v>0</v>
      </c>
      <c r="C12" s="34">
        <f>'Energy Schedule'!BB$6</f>
        <v>0</v>
      </c>
      <c r="D12" s="34">
        <f>'Energy Schedule'!BC$6</f>
        <v>8.42</v>
      </c>
      <c r="E12" s="34">
        <f>'Energy Schedule'!BD$6</f>
        <v>14.16</v>
      </c>
      <c r="G12" s="22"/>
      <c r="H12" s="22"/>
    </row>
    <row r="13" spans="1:12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4713.2800000000007</v>
      </c>
      <c r="E13" s="49">
        <f>E3*$B$13</f>
        <v>3580.7200000000003</v>
      </c>
      <c r="G13" s="22"/>
      <c r="H13" s="22"/>
    </row>
    <row r="14" spans="1:12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10.3</v>
      </c>
      <c r="E14" s="49">
        <f>E3*$B$14</f>
        <v>7.8250000000000002</v>
      </c>
      <c r="G14" s="22"/>
      <c r="H14" s="22"/>
    </row>
    <row r="15" spans="1:12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2678</v>
      </c>
      <c r="E15" s="49">
        <f>E3*$B$15</f>
        <v>2034.5</v>
      </c>
      <c r="G15" s="22"/>
      <c r="H15" s="22"/>
    </row>
    <row r="16" spans="1:12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14.480083333333335</v>
      </c>
      <c r="E17" s="49">
        <f>E3*$B$17/24</f>
        <v>11.000645833333335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206.00000000000003</v>
      </c>
      <c r="E18" s="49">
        <f>E3*$B$18*1000</f>
        <v>156.5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18953.824301298271</v>
      </c>
      <c r="E19" s="49">
        <f>E9*$B$19</f>
        <v>14399.385937636793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9905.5162177639195</v>
      </c>
      <c r="E21" s="49">
        <f>E8*$B$21</f>
        <v>7525.3072236895805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120.00913879213979</v>
      </c>
      <c r="E23" s="49">
        <f>E9*$B$23*10.5%</f>
        <v>91.17199136393144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120.00913879213979</v>
      </c>
      <c r="E24" s="55">
        <f>E9*$B$24*10.5%</f>
        <v>91.17199136393144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37142.918879979807</v>
      </c>
      <c r="E25" s="59">
        <f>SUM(E11:E24)</f>
        <v>28266.412789887574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3.8997094937773027</v>
      </c>
      <c r="E26" s="58">
        <f>E25/E9</f>
        <v>3.906427794594411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82019.691979979805</v>
      </c>
      <c r="E27" s="14">
        <f>E4+E25</f>
        <v>64276.522789887575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8.6114118420407575</v>
      </c>
      <c r="E28" s="16">
        <f>E27/E9</f>
        <v>8.8830371590740711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750</v>
      </c>
      <c r="D33" s="23">
        <f>M39+M46+M53</f>
        <v>693.5340891825</v>
      </c>
      <c r="E33" s="3">
        <f>D33*B33</f>
        <v>7737.2396824422658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10000</v>
      </c>
      <c r="D34" s="13">
        <f>M41+M48+M55</f>
        <v>9247.1211891000003</v>
      </c>
      <c r="E34" s="3">
        <f>D34*B34</f>
        <v>103163.19576589687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4900</v>
      </c>
      <c r="D35" s="13">
        <f>M38+M40+M45+M47+M52+M54</f>
        <v>4531.089382659</v>
      </c>
      <c r="E35" s="3">
        <f>D35*B35</f>
        <v>40439.972740231577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2474.9999999999995</v>
      </c>
      <c r="D36" s="13">
        <f>M37+M42+M44+M49+M51+M56</f>
        <v>2288.6624943022493</v>
      </c>
      <c r="E36" s="13">
        <f>D36*B36</f>
        <v>19404.997123565197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18125</v>
      </c>
      <c r="D37" s="12">
        <f>SUM(D33:D36)</f>
        <v>16760.407155243749</v>
      </c>
      <c r="E37" s="10">
        <f>SUM(E33:E36)</f>
        <v>170745.4053121359</v>
      </c>
      <c r="F37" s="23"/>
      <c r="G37" s="22"/>
      <c r="H37" s="14" t="s">
        <v>32</v>
      </c>
      <c r="I37" s="37">
        <f>SUM('Energy Schedule'!BB7:BB26)/4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Schedule'!BB27:BB30)/4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Schedule'!BB31:BB46)/4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Schedule'!BB47:BB78)/4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Schedule'!BB79:BB94)/4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18125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Schedule'!BB95:BB102)/4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16760.407155243749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146296.21476986737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Schedule'!BC7:BC26)/4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8.7286790478772094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Schedule'!BC27:BC30)/4</f>
        <v>0.25</v>
      </c>
      <c r="J45" s="14">
        <f t="shared" si="4"/>
        <v>250</v>
      </c>
      <c r="K45" s="14">
        <f t="shared" si="5"/>
        <v>241.42500000000001</v>
      </c>
      <c r="L45" s="14">
        <f t="shared" si="6"/>
        <v>235.775655</v>
      </c>
      <c r="M45" s="14">
        <f t="shared" si="7"/>
        <v>231.17802972749999</v>
      </c>
    </row>
    <row r="46" spans="1:15" ht="14.5" x14ac:dyDescent="0.3">
      <c r="A46" s="47" t="s">
        <v>18</v>
      </c>
      <c r="B46" s="7">
        <f>E37</f>
        <v>170745.4053121359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Schedule'!BC31:BC46)/4</f>
        <v>0</v>
      </c>
      <c r="J46" s="14">
        <f t="shared" si="4"/>
        <v>0</v>
      </c>
      <c r="K46" s="14">
        <f t="shared" si="5"/>
        <v>0</v>
      </c>
      <c r="L46" s="14">
        <f t="shared" si="6"/>
        <v>0</v>
      </c>
      <c r="M46" s="14">
        <f t="shared" si="7"/>
        <v>0</v>
      </c>
    </row>
    <row r="47" spans="1:15" ht="14.5" x14ac:dyDescent="0.3">
      <c r="A47" s="47" t="s">
        <v>159</v>
      </c>
      <c r="B47" s="46">
        <f>B46/B43</f>
        <v>10.187425862068965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Schedule'!BC47:BC78)/4</f>
        <v>2</v>
      </c>
      <c r="J47" s="14">
        <f t="shared" si="4"/>
        <v>2000</v>
      </c>
      <c r="K47" s="14">
        <f t="shared" si="5"/>
        <v>1931.4</v>
      </c>
      <c r="L47" s="14">
        <f t="shared" si="6"/>
        <v>1886.20524</v>
      </c>
      <c r="M47" s="14">
        <f t="shared" si="7"/>
        <v>1849.4242378199999</v>
      </c>
    </row>
    <row r="48" spans="1:15" ht="14.5" x14ac:dyDescent="0.3">
      <c r="A48" s="47" t="s">
        <v>19</v>
      </c>
      <c r="B48" s="7">
        <f>B46-B44</f>
        <v>24449.190542268538</v>
      </c>
      <c r="G48" s="22"/>
      <c r="H48" s="14" t="s">
        <v>29</v>
      </c>
      <c r="I48" s="39">
        <f>SUM('Energy Schedule'!BC79:BC94)/4</f>
        <v>6.25</v>
      </c>
      <c r="J48" s="14">
        <f t="shared" si="4"/>
        <v>6250</v>
      </c>
      <c r="K48" s="14">
        <f t="shared" si="5"/>
        <v>6035.625</v>
      </c>
      <c r="L48" s="14">
        <f t="shared" si="6"/>
        <v>5894.3913750000002</v>
      </c>
      <c r="M48" s="14">
        <f t="shared" si="7"/>
        <v>5779.4507431874999</v>
      </c>
    </row>
    <row r="49" spans="1:13" ht="14.5" x14ac:dyDescent="0.3">
      <c r="A49" s="47" t="s">
        <v>160</v>
      </c>
      <c r="B49" s="46">
        <f>B47-B45</f>
        <v>1.4587468141917554</v>
      </c>
      <c r="G49" s="22"/>
      <c r="H49" s="14" t="s">
        <v>32</v>
      </c>
      <c r="I49" s="37">
        <f>SUM('Energy Schedule'!BC95:BC102)/4</f>
        <v>0.3</v>
      </c>
      <c r="J49" s="14">
        <f t="shared" si="4"/>
        <v>300</v>
      </c>
      <c r="K49" s="14">
        <f t="shared" si="5"/>
        <v>289.70999999999998</v>
      </c>
      <c r="L49" s="14">
        <f t="shared" si="6"/>
        <v>282.93078599999996</v>
      </c>
      <c r="M49" s="14">
        <f t="shared" si="7"/>
        <v>277.41363567299993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Schedule'!BD7:BD26)/4</f>
        <v>0.67499999999999993</v>
      </c>
      <c r="J51" s="14">
        <f t="shared" si="4"/>
        <v>674.99999999999989</v>
      </c>
      <c r="K51" s="14">
        <f t="shared" si="5"/>
        <v>651.84749999999985</v>
      </c>
      <c r="L51" s="14">
        <f t="shared" si="6"/>
        <v>636.59426849999988</v>
      </c>
      <c r="M51" s="14">
        <f t="shared" si="7"/>
        <v>624.18068026424987</v>
      </c>
    </row>
    <row r="52" spans="1:13" ht="14.5" x14ac:dyDescent="0.3">
      <c r="G52" s="22"/>
      <c r="H52" s="14" t="s">
        <v>31</v>
      </c>
      <c r="I52" s="38">
        <f>SUM('Energy Schedule'!BD27:BD30)/4</f>
        <v>0.25</v>
      </c>
      <c r="J52" s="14">
        <f t="shared" si="4"/>
        <v>250</v>
      </c>
      <c r="K52" s="14">
        <f t="shared" si="5"/>
        <v>241.42500000000001</v>
      </c>
      <c r="L52" s="14">
        <f t="shared" si="6"/>
        <v>235.775655</v>
      </c>
      <c r="M52" s="14">
        <f t="shared" si="7"/>
        <v>231.17802972749999</v>
      </c>
    </row>
    <row r="53" spans="1:13" s="9" customFormat="1" ht="14.5" x14ac:dyDescent="0.3">
      <c r="G53" s="22"/>
      <c r="H53" s="14" t="s">
        <v>28</v>
      </c>
      <c r="I53" s="39">
        <f>SUM('Energy Schedule'!BD31:BD46)/4</f>
        <v>0.75</v>
      </c>
      <c r="J53" s="14">
        <f t="shared" si="4"/>
        <v>750</v>
      </c>
      <c r="K53" s="14">
        <f t="shared" si="5"/>
        <v>724.27499999999998</v>
      </c>
      <c r="L53" s="14">
        <f t="shared" si="6"/>
        <v>707.32696499999997</v>
      </c>
      <c r="M53" s="14">
        <f t="shared" si="7"/>
        <v>693.5340891825</v>
      </c>
    </row>
    <row r="54" spans="1:13" s="9" customFormat="1" ht="14.5" x14ac:dyDescent="0.3">
      <c r="G54" s="22"/>
      <c r="H54" s="14" t="s">
        <v>31</v>
      </c>
      <c r="I54" s="38">
        <f>SUM('Energy Schedule'!BD47:BD78)/4</f>
        <v>2.4</v>
      </c>
      <c r="J54" s="14">
        <f t="shared" si="4"/>
        <v>2400</v>
      </c>
      <c r="K54" s="14">
        <f>J54-(J54*$B$6)</f>
        <v>2317.6799999999998</v>
      </c>
      <c r="L54" s="14">
        <f t="shared" si="6"/>
        <v>2263.4462879999996</v>
      </c>
      <c r="M54" s="14">
        <f t="shared" si="7"/>
        <v>2219.3090853839994</v>
      </c>
    </row>
    <row r="55" spans="1:13" s="8" customFormat="1" ht="14.5" x14ac:dyDescent="0.3">
      <c r="G55" s="22"/>
      <c r="H55" s="14" t="s">
        <v>29</v>
      </c>
      <c r="I55" s="39">
        <f>SUM('Energy Schedule'!BD79:BD94)/4</f>
        <v>3.75</v>
      </c>
      <c r="J55" s="14">
        <f t="shared" si="4"/>
        <v>3750</v>
      </c>
      <c r="K55" s="14">
        <f t="shared" si="5"/>
        <v>3621.375</v>
      </c>
      <c r="L55" s="14">
        <f t="shared" si="6"/>
        <v>3536.6348250000001</v>
      </c>
      <c r="M55" s="14">
        <f t="shared" si="7"/>
        <v>3467.6704459124999</v>
      </c>
    </row>
    <row r="56" spans="1:13" s="8" customFormat="1" ht="14.5" x14ac:dyDescent="0.3">
      <c r="G56" s="22"/>
      <c r="H56" s="14" t="s">
        <v>32</v>
      </c>
      <c r="I56" s="37">
        <f>SUM('Energy Schedule'!BD95:BD102)/4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3A70-EFA3-4F42-BB28-19091AA25FD6}">
  <dimension ref="A2:O222"/>
  <sheetViews>
    <sheetView zoomScale="80" zoomScaleNormal="80" workbookViewId="0">
      <selection activeCell="J7" sqref="J7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Schedule'!BE$103</f>
        <v>0</v>
      </c>
      <c r="D3" s="33">
        <f>'Energy Schedule'!BF$103</f>
        <v>5.7</v>
      </c>
      <c r="E3" s="33">
        <f>'Energy Schedule'!BG$103</f>
        <v>4.4000000000000004</v>
      </c>
      <c r="G3" s="22"/>
      <c r="H3" s="22"/>
    </row>
    <row r="4" spans="1:11" ht="14.5" x14ac:dyDescent="0.3">
      <c r="A4" s="31" t="s">
        <v>10</v>
      </c>
      <c r="B4" s="32"/>
      <c r="C4" s="34">
        <f>'Energy Schedule'!BE$5</f>
        <v>0</v>
      </c>
      <c r="D4" s="34">
        <f>'Energy Schedule'!BF$5</f>
        <v>23821.926899999999</v>
      </c>
      <c r="E4" s="34">
        <f>'Energy Schedule'!BG$5</f>
        <v>18669.45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5700</v>
      </c>
      <c r="E5" s="48">
        <f t="shared" si="0"/>
        <v>4400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5504.49</v>
      </c>
      <c r="E6" s="49">
        <f>E5-(E5*$B$6)</f>
        <v>4249.08</v>
      </c>
      <c r="G6" s="22"/>
      <c r="H6" s="62" t="s">
        <v>28</v>
      </c>
      <c r="I6" s="76">
        <f>D33</f>
        <v>393.00265053674991</v>
      </c>
      <c r="J6" s="1">
        <f>'Consumption Details'!$B21</f>
        <v>1800</v>
      </c>
      <c r="K6" s="14">
        <f>J6-I6</f>
        <v>1406.99734946325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5375.6849339999999</v>
      </c>
      <c r="E7" s="49">
        <f>E6-(E6*$B$7)</f>
        <v>4149.6515280000003</v>
      </c>
      <c r="G7" s="22"/>
      <c r="H7" s="62" t="s">
        <v>29</v>
      </c>
      <c r="I7" s="76">
        <f t="shared" ref="I7:I9" si="1">D34</f>
        <v>4854.7386242775001</v>
      </c>
      <c r="J7" s="1">
        <f>'Consumption Details'!$C21</f>
        <v>9300</v>
      </c>
      <c r="K7" s="14">
        <f t="shared" ref="K7:K9" si="2">J7-I7</f>
        <v>4445.2613757224999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5270.8590777869995</v>
      </c>
      <c r="E8" s="49">
        <f>E7-(E7*$B$8)</f>
        <v>4068.7333232040005</v>
      </c>
      <c r="G8" s="22"/>
      <c r="H8" s="62" t="s">
        <v>31</v>
      </c>
      <c r="I8" s="76">
        <f t="shared" si="1"/>
        <v>2635.4295388935002</v>
      </c>
      <c r="J8" s="1">
        <f>'Consumption Details'!$D21</f>
        <v>17350</v>
      </c>
      <c r="K8" s="14">
        <f t="shared" si="2"/>
        <v>14714.570461106499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5270.8590777869995</v>
      </c>
      <c r="E9" s="49">
        <f>E8</f>
        <v>4068.7333232040005</v>
      </c>
      <c r="G9" s="22"/>
      <c r="H9" s="62" t="s">
        <v>32</v>
      </c>
      <c r="I9" s="76">
        <f t="shared" si="1"/>
        <v>1456.4215872832494</v>
      </c>
      <c r="J9" s="1">
        <f>'Consumption Details'!$E21</f>
        <v>3700</v>
      </c>
      <c r="K9" s="14">
        <f t="shared" si="2"/>
        <v>2243.5784127167508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4.5195529890739881</v>
      </c>
      <c r="E10" s="49">
        <f>E4/E9</f>
        <v>4.5885165030423751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134.52000000000001</v>
      </c>
      <c r="E11" s="49">
        <f>(E3*1000*$B$11)+(E3*1000*$B$11*18%)</f>
        <v>103.84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Schedule'!BE$6</f>
        <v>0</v>
      </c>
      <c r="D12" s="34">
        <f>'Energy Schedule'!BF$6</f>
        <v>8.25</v>
      </c>
      <c r="E12" s="34">
        <f>'Energy Schedule'!BG$6</f>
        <v>13.66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2608.3200000000002</v>
      </c>
      <c r="E13" s="49">
        <f>E3*$B$13</f>
        <v>2013.4400000000003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5.7</v>
      </c>
      <c r="E14" s="49">
        <f>E3*$B$14</f>
        <v>4.4000000000000004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1482</v>
      </c>
      <c r="E15" s="49">
        <f>E3*$B$15</f>
        <v>1144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8.0132500000000011</v>
      </c>
      <c r="E17" s="49">
        <f>E3*$B$17/24</f>
        <v>6.1856666666666671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114</v>
      </c>
      <c r="E18" s="49">
        <f>E3*$B$18*1000</f>
        <v>88.000000000000014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10489.00956479613</v>
      </c>
      <c r="E19" s="49">
        <f>E9*$B$19</f>
        <v>8096.7793131759609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5481.6934408984798</v>
      </c>
      <c r="E21" s="49">
        <f>E8*$B$21</f>
        <v>4231.4826561321606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66.412824380116191</v>
      </c>
      <c r="E23" s="49">
        <f>E9*$B$23*10.5%</f>
        <v>51.266039872370406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66.412824380116191</v>
      </c>
      <c r="E24" s="55">
        <f>E9*$B$24*10.5%</f>
        <v>51.266039872370406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20634.331904454841</v>
      </c>
      <c r="E25" s="59">
        <f>SUM(E11:E24)</f>
        <v>15974.319715719532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3.9147948370340959</v>
      </c>
      <c r="E26" s="58">
        <f>E25/E9</f>
        <v>3.9261161759159613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44456.258804454839</v>
      </c>
      <c r="E27" s="14">
        <f>E4+E25</f>
        <v>34643.769715719536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8.434347826108084</v>
      </c>
      <c r="E28" s="16">
        <f>E27/E9</f>
        <v>8.5146326789583373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425</v>
      </c>
      <c r="D33" s="23">
        <f>M39+M46+M53</f>
        <v>393.00265053674991</v>
      </c>
      <c r="E33" s="3">
        <f>D33*B33</f>
        <v>4384.4358200506158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5250</v>
      </c>
      <c r="D34" s="13">
        <f>M41+M48+M55</f>
        <v>4854.7386242775001</v>
      </c>
      <c r="E34" s="3">
        <f>D34*B34</f>
        <v>54160.677777095858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2850</v>
      </c>
      <c r="D35" s="13">
        <f>M38+M40+M45+M47+M52+M54</f>
        <v>2635.4295388935002</v>
      </c>
      <c r="E35" s="3">
        <f>D35*B35</f>
        <v>23521.208634624491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1574.9999999999995</v>
      </c>
      <c r="D36" s="13">
        <f>M37+M42+M44+M49+M51+M56</f>
        <v>1456.4215872832494</v>
      </c>
      <c r="E36" s="13">
        <f>D36*B36</f>
        <v>12348.63453317785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10100</v>
      </c>
      <c r="D37" s="12">
        <f>SUM(D33:D36)</f>
        <v>9339.5924009909995</v>
      </c>
      <c r="E37" s="10">
        <f>SUM(E33:E36)</f>
        <v>94414.956764948816</v>
      </c>
      <c r="F37" s="23"/>
      <c r="G37" s="22"/>
      <c r="H37" s="14" t="s">
        <v>32</v>
      </c>
      <c r="I37" s="37">
        <f>SUM('Energy Schedule'!BE7:BE26)/4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Schedule'!BE27:BE30)/4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Schedule'!BE31:BE46)/4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Schedule'!BE47:BE78)/4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Schedule'!BE79:BE94)/4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10100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Schedule'!BE95:BE102)/4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9339.5924009909995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79100.028520174383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Schedule'!BF7:BF26)/4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8.4693234055676019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Schedule'!BF27:BF30)/4</f>
        <v>0.25</v>
      </c>
      <c r="J45" s="14">
        <f t="shared" si="4"/>
        <v>250</v>
      </c>
      <c r="K45" s="14">
        <f t="shared" si="5"/>
        <v>241.42500000000001</v>
      </c>
      <c r="L45" s="14">
        <f t="shared" si="6"/>
        <v>235.775655</v>
      </c>
      <c r="M45" s="14">
        <f t="shared" si="7"/>
        <v>231.17802972749999</v>
      </c>
    </row>
    <row r="46" spans="1:15" ht="14.5" x14ac:dyDescent="0.3">
      <c r="A46" s="47" t="s">
        <v>18</v>
      </c>
      <c r="B46" s="7">
        <f>E37</f>
        <v>94414.956764948816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Schedule'!BF31:BF46)/4</f>
        <v>0.125</v>
      </c>
      <c r="J46" s="14">
        <f t="shared" si="4"/>
        <v>125</v>
      </c>
      <c r="K46" s="14">
        <f t="shared" si="5"/>
        <v>120.71250000000001</v>
      </c>
      <c r="L46" s="14">
        <f t="shared" si="6"/>
        <v>117.8878275</v>
      </c>
      <c r="M46" s="14">
        <f t="shared" si="7"/>
        <v>115.58901486374999</v>
      </c>
    </row>
    <row r="47" spans="1:15" ht="14.5" x14ac:dyDescent="0.3">
      <c r="A47" s="47" t="s">
        <v>159</v>
      </c>
      <c r="B47" s="46">
        <f>B46/B43</f>
        <v>10.10910891089109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Schedule'!BF47:BF78)/4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15314.928244774434</v>
      </c>
      <c r="G48" s="22"/>
      <c r="H48" s="14" t="s">
        <v>29</v>
      </c>
      <c r="I48" s="39">
        <f>SUM('Energy Schedule'!BF79:BF94)/4</f>
        <v>3.75</v>
      </c>
      <c r="J48" s="14">
        <f t="shared" si="4"/>
        <v>3750</v>
      </c>
      <c r="K48" s="14">
        <f t="shared" si="5"/>
        <v>3621.375</v>
      </c>
      <c r="L48" s="14">
        <f t="shared" si="6"/>
        <v>3536.6348250000001</v>
      </c>
      <c r="M48" s="14">
        <f t="shared" si="7"/>
        <v>3467.6704459124999</v>
      </c>
    </row>
    <row r="49" spans="1:13" ht="14.5" x14ac:dyDescent="0.3">
      <c r="A49" s="47" t="s">
        <v>160</v>
      </c>
      <c r="B49" s="46">
        <f>B47-B45</f>
        <v>1.6397855053234878</v>
      </c>
      <c r="G49" s="22"/>
      <c r="H49" s="14" t="s">
        <v>32</v>
      </c>
      <c r="I49" s="37">
        <f>SUM('Energy Schedule'!BF95:BF102)/4</f>
        <v>7.4999999999999997E-2</v>
      </c>
      <c r="J49" s="14">
        <f t="shared" si="4"/>
        <v>75</v>
      </c>
      <c r="K49" s="14">
        <f t="shared" si="5"/>
        <v>72.427499999999995</v>
      </c>
      <c r="L49" s="14">
        <f t="shared" si="6"/>
        <v>70.732696499999989</v>
      </c>
      <c r="M49" s="14">
        <f t="shared" si="7"/>
        <v>69.353408918249983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Schedule'!BG7:BG26)/4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Schedule'!BG27:BG30)/4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Schedule'!BG31:BG46)/4</f>
        <v>0.3</v>
      </c>
      <c r="J53" s="14">
        <f t="shared" si="4"/>
        <v>300</v>
      </c>
      <c r="K53" s="14">
        <f t="shared" si="5"/>
        <v>289.70999999999998</v>
      </c>
      <c r="L53" s="14">
        <f t="shared" si="6"/>
        <v>282.93078599999996</v>
      </c>
      <c r="M53" s="14">
        <f t="shared" si="7"/>
        <v>277.41363567299993</v>
      </c>
    </row>
    <row r="54" spans="1:13" s="9" customFormat="1" ht="14.5" x14ac:dyDescent="0.3">
      <c r="G54" s="22"/>
      <c r="H54" s="14" t="s">
        <v>31</v>
      </c>
      <c r="I54" s="38">
        <f>SUM('Energy Schedule'!BG47:BG78)/4</f>
        <v>2.6</v>
      </c>
      <c r="J54" s="14">
        <f>I54*1000</f>
        <v>2600</v>
      </c>
      <c r="K54" s="14">
        <f>J54-(J54*$B$6)</f>
        <v>2510.8200000000002</v>
      </c>
      <c r="L54" s="14">
        <f t="shared" si="6"/>
        <v>2452.066812</v>
      </c>
      <c r="M54" s="14">
        <f t="shared" si="7"/>
        <v>2404.2515091660002</v>
      </c>
    </row>
    <row r="55" spans="1:13" s="8" customFormat="1" ht="14.5" x14ac:dyDescent="0.3">
      <c r="G55" s="22"/>
      <c r="H55" s="14" t="s">
        <v>29</v>
      </c>
      <c r="I55" s="39">
        <f>SUM('Energy Schedule'!BG79:BG94)/4</f>
        <v>1.5</v>
      </c>
      <c r="J55" s="14">
        <f t="shared" si="4"/>
        <v>1500</v>
      </c>
      <c r="K55" s="14">
        <f t="shared" si="5"/>
        <v>1448.55</v>
      </c>
      <c r="L55" s="14">
        <f t="shared" si="6"/>
        <v>1414.6539299999999</v>
      </c>
      <c r="M55" s="14">
        <f t="shared" si="7"/>
        <v>1387.068178365</v>
      </c>
    </row>
    <row r="56" spans="1:13" s="8" customFormat="1" ht="14.5" x14ac:dyDescent="0.3">
      <c r="G56" s="22"/>
      <c r="H56" s="14" t="s">
        <v>32</v>
      </c>
      <c r="I56" s="37">
        <f>SUM('Energy Schedule'!BG95:BG102)/4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EF58-B9F8-4A68-9039-88EA97F1143C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Schedule'!BH$103</f>
        <v>0</v>
      </c>
      <c r="D3" s="33">
        <f>'Energy Schedule'!BI$103</f>
        <v>5.8250000000000002</v>
      </c>
      <c r="E3" s="33">
        <f>'Energy Schedule'!BJ$103</f>
        <v>2.4</v>
      </c>
      <c r="G3" s="22"/>
      <c r="H3" s="22"/>
    </row>
    <row r="4" spans="1:11" ht="14.5" x14ac:dyDescent="0.3">
      <c r="A4" s="31" t="s">
        <v>10</v>
      </c>
      <c r="B4" s="32"/>
      <c r="C4" s="34">
        <f>'Energy Schedule'!BH$5</f>
        <v>0</v>
      </c>
      <c r="D4" s="34">
        <f>'Energy Schedule'!BI$5</f>
        <v>24262.558499999999</v>
      </c>
      <c r="E4" s="34">
        <f>'Energy Schedule'!BJ$5</f>
        <v>8641.65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5825</v>
      </c>
      <c r="E5" s="48">
        <f t="shared" si="0"/>
        <v>2400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5625.2025000000003</v>
      </c>
      <c r="E6" s="49">
        <f>E5-(E5*$B$6)</f>
        <v>2317.6799999999998</v>
      </c>
      <c r="G6" s="22"/>
      <c r="H6" s="62" t="s">
        <v>28</v>
      </c>
      <c r="I6" s="76">
        <f>D33</f>
        <v>508.59166540049989</v>
      </c>
      <c r="J6" s="1">
        <f>'Consumption Details'!$B22</f>
        <v>1000</v>
      </c>
      <c r="K6" s="14">
        <f>J6-I6</f>
        <v>491.40833459950011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5493.5727615000005</v>
      </c>
      <c r="E7" s="49">
        <f>E6-(E6*$B$7)</f>
        <v>2263.4462879999996</v>
      </c>
      <c r="G7" s="22"/>
      <c r="H7" s="62" t="s">
        <v>29</v>
      </c>
      <c r="I7" s="76">
        <f t="shared" ref="I7:I9" si="1">D34</f>
        <v>4161.2045350950002</v>
      </c>
      <c r="J7" s="1">
        <f>'Consumption Details'!$C22</f>
        <v>8150</v>
      </c>
      <c r="K7" s="14">
        <f t="shared" ref="K7:K9" si="2">J7-I7</f>
        <v>3988.7954649049998</v>
      </c>
    </row>
    <row r="8" spans="1:11" ht="14.5" x14ac:dyDescent="0.3">
      <c r="A8" s="40" t="s">
        <v>49</v>
      </c>
      <c r="B8" s="67">
        <f>'TNEB Charges'!B2</f>
        <v>1.95E-2</v>
      </c>
      <c r="C8" s="49">
        <f>C7-(C7*$B$8)</f>
        <v>0</v>
      </c>
      <c r="D8" s="49">
        <f>D7-(D7*$B$8)</f>
        <v>5386.4480926507504</v>
      </c>
      <c r="E8" s="49">
        <f>E7-(E7*$B$8)</f>
        <v>2219.3090853839994</v>
      </c>
      <c r="G8" s="22"/>
      <c r="H8" s="62" t="s">
        <v>31</v>
      </c>
      <c r="I8" s="76">
        <f t="shared" si="1"/>
        <v>462.35605945499998</v>
      </c>
      <c r="J8" s="1">
        <f>'Consumption Details'!$D22</f>
        <v>250</v>
      </c>
      <c r="K8" s="14">
        <f t="shared" si="2"/>
        <v>-212.35605945499998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5386.4480926507504</v>
      </c>
      <c r="E9" s="49">
        <f>E8</f>
        <v>2219.3090853839994</v>
      </c>
      <c r="G9" s="22"/>
      <c r="H9" s="62" t="s">
        <v>32</v>
      </c>
      <c r="I9" s="76">
        <f t="shared" si="1"/>
        <v>2473.6049180842492</v>
      </c>
      <c r="J9" s="1">
        <f>'Consumption Details'!$E22</f>
        <v>3650</v>
      </c>
      <c r="K9" s="14">
        <f t="shared" si="2"/>
        <v>1176.3950819157508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4.5043706135595629</v>
      </c>
      <c r="E10" s="49">
        <f>E4/E9</f>
        <v>3.8938469890978546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137.47</v>
      </c>
      <c r="E11" s="49">
        <f>(E3*1000*$B$11)+(E3*1000*$B$11*18%)</f>
        <v>56.64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Schedule'!BH$6</f>
        <v>0</v>
      </c>
      <c r="D12" s="34">
        <f>'Energy Schedule'!BI$6</f>
        <v>8.2200000000000006</v>
      </c>
      <c r="E12" s="34">
        <f>'Energy Schedule'!BJ$6</f>
        <v>12.92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2665.5200000000004</v>
      </c>
      <c r="E13" s="49">
        <f>E3*$B$13</f>
        <v>1098.24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5.8250000000000002</v>
      </c>
      <c r="E14" s="49">
        <f>E3*$B$14</f>
        <v>2.4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1514.5</v>
      </c>
      <c r="E15" s="49">
        <f>E3*$B$15</f>
        <v>624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8.1889791666666678</v>
      </c>
      <c r="E17" s="49">
        <f>E3*$B$17/24</f>
        <v>3.3740000000000001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116.5</v>
      </c>
      <c r="E18" s="49">
        <f>E3*$B$18*1000</f>
        <v>48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10719.031704374993</v>
      </c>
      <c r="E19" s="49">
        <f>E9*$B$19</f>
        <v>4416.4250799141591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5601.9060163567801</v>
      </c>
      <c r="E21" s="49">
        <f>E8*$B$21</f>
        <v>2308.0814487993594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67.869245967399451</v>
      </c>
      <c r="E23" s="49">
        <f>E9*$B$23*10.5%</f>
        <v>27.963294475838392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67.869245967399451</v>
      </c>
      <c r="E24" s="55">
        <f>E9*$B$24*10.5%</f>
        <v>27.963294475838392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21082.900191833236</v>
      </c>
      <c r="E25" s="59">
        <f>SUM(E11:E24)</f>
        <v>8796.0071176651945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3.9140635589895809</v>
      </c>
      <c r="E26" s="58">
        <f>E25/E9</f>
        <v>3.9633988684109998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45345.458691833235</v>
      </c>
      <c r="E27" s="14">
        <f>E4+E25</f>
        <v>17437.657117665192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8.4184341725491443</v>
      </c>
      <c r="E28" s="16">
        <f>E27/E9</f>
        <v>7.857245857508854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550</v>
      </c>
      <c r="D33" s="23">
        <f>M39+M46+M53</f>
        <v>508.59166540049989</v>
      </c>
      <c r="E33" s="3">
        <f>D33*B33</f>
        <v>5673.9757671243269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4500</v>
      </c>
      <c r="D34" s="13">
        <f>M41+M48+M55</f>
        <v>4161.2045350950002</v>
      </c>
      <c r="E34" s="3">
        <f>D34*B34</f>
        <v>46423.438094653597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500</v>
      </c>
      <c r="D35" s="13">
        <f>M38+M40+M45+M47+M52+M54</f>
        <v>462.35605945499998</v>
      </c>
      <c r="E35" s="3">
        <f>D35*B35</f>
        <v>4126.527830635875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2674.9999999999995</v>
      </c>
      <c r="D36" s="13">
        <f>M37+M42+M44+M49+M51+M56</f>
        <v>2473.6049180842492</v>
      </c>
      <c r="E36" s="13">
        <f>D36*B36</f>
        <v>20973.077699206828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8225</v>
      </c>
      <c r="D37" s="12">
        <f>SUM(D33:D36)</f>
        <v>7605.7571780347489</v>
      </c>
      <c r="E37" s="10">
        <f>SUM(E33:E36)</f>
        <v>77197.019391620619</v>
      </c>
      <c r="F37" s="23"/>
      <c r="G37" s="22"/>
      <c r="H37" s="14" t="s">
        <v>32</v>
      </c>
      <c r="I37" s="37">
        <f>SUM('Energy Schedule'!BH7:BH26)/4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Schedule'!BH27:BH30)/4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Schedule'!BH31:BH46)/4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Schedule'!BH47:BH78)/4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Schedule'!BH79:BH94)/4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8225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Schedule'!BH95:BH102)/4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7605.7571780347489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62783.115809498428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Schedule'!BI7:BI26)/4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8.2546831748474183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Schedule'!BI27:BI30)/4</f>
        <v>0.25</v>
      </c>
      <c r="J45" s="14">
        <f t="shared" si="4"/>
        <v>250</v>
      </c>
      <c r="K45" s="14">
        <f t="shared" si="5"/>
        <v>241.42500000000001</v>
      </c>
      <c r="L45" s="14">
        <f t="shared" si="6"/>
        <v>235.775655</v>
      </c>
      <c r="M45" s="14">
        <f t="shared" si="7"/>
        <v>231.17802972749999</v>
      </c>
    </row>
    <row r="46" spans="1:15" ht="14.5" x14ac:dyDescent="0.3">
      <c r="A46" s="47" t="s">
        <v>18</v>
      </c>
      <c r="B46" s="7">
        <f>E37</f>
        <v>77197.019391620619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Schedule'!BI31:BI46)/4</f>
        <v>0.25</v>
      </c>
      <c r="J46" s="14">
        <f t="shared" si="4"/>
        <v>250</v>
      </c>
      <c r="K46" s="14">
        <f t="shared" si="5"/>
        <v>241.42500000000001</v>
      </c>
      <c r="L46" s="14">
        <f t="shared" si="6"/>
        <v>235.775655</v>
      </c>
      <c r="M46" s="14">
        <f t="shared" si="7"/>
        <v>231.17802972749999</v>
      </c>
    </row>
    <row r="47" spans="1:15" ht="14.5" x14ac:dyDescent="0.3">
      <c r="A47" s="47" t="s">
        <v>159</v>
      </c>
      <c r="B47" s="46">
        <f>B46/B43</f>
        <v>10.149813829787234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Schedule'!BI47:BI78)/4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14413.903582122191</v>
      </c>
      <c r="G48" s="22"/>
      <c r="H48" s="14" t="s">
        <v>29</v>
      </c>
      <c r="I48" s="39">
        <f>SUM('Energy Schedule'!BI79:BI94)/4</f>
        <v>3.75</v>
      </c>
      <c r="J48" s="14">
        <f t="shared" si="4"/>
        <v>3750</v>
      </c>
      <c r="K48" s="14">
        <f t="shared" si="5"/>
        <v>3621.375</v>
      </c>
      <c r="L48" s="14">
        <f t="shared" si="6"/>
        <v>3536.6348250000001</v>
      </c>
      <c r="M48" s="14">
        <f t="shared" si="7"/>
        <v>3467.6704459124999</v>
      </c>
    </row>
    <row r="49" spans="1:13" ht="14.5" x14ac:dyDescent="0.3">
      <c r="A49" s="47" t="s">
        <v>160</v>
      </c>
      <c r="B49" s="46">
        <f>B47-B45</f>
        <v>1.8951306549398161</v>
      </c>
      <c r="G49" s="22"/>
      <c r="H49" s="14" t="s">
        <v>32</v>
      </c>
      <c r="I49" s="37">
        <f>SUM('Energy Schedule'!BI95:BI102)/4</f>
        <v>7.4999999999999997E-2</v>
      </c>
      <c r="J49" s="14">
        <f t="shared" si="4"/>
        <v>75</v>
      </c>
      <c r="K49" s="14">
        <f t="shared" si="5"/>
        <v>72.427499999999995</v>
      </c>
      <c r="L49" s="14">
        <f t="shared" si="6"/>
        <v>70.732696499999989</v>
      </c>
      <c r="M49" s="14">
        <f t="shared" si="7"/>
        <v>69.353408918249983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Schedule'!BJ7:BJ26)/4</f>
        <v>0.6</v>
      </c>
      <c r="J51" s="14">
        <f t="shared" si="4"/>
        <v>600</v>
      </c>
      <c r="K51" s="14">
        <f t="shared" si="5"/>
        <v>579.41999999999996</v>
      </c>
      <c r="L51" s="14">
        <f t="shared" si="6"/>
        <v>565.86157199999991</v>
      </c>
      <c r="M51" s="14">
        <f t="shared" si="7"/>
        <v>554.82727134599986</v>
      </c>
    </row>
    <row r="52" spans="1:13" ht="14.5" x14ac:dyDescent="0.3">
      <c r="G52" s="22"/>
      <c r="H52" s="14" t="s">
        <v>31</v>
      </c>
      <c r="I52" s="38">
        <f>SUM('Energy Schedule'!BJ27:BJ30)/4</f>
        <v>0.25</v>
      </c>
      <c r="J52" s="14">
        <f t="shared" si="4"/>
        <v>250</v>
      </c>
      <c r="K52" s="14">
        <f t="shared" si="5"/>
        <v>241.42500000000001</v>
      </c>
      <c r="L52" s="14">
        <f t="shared" si="6"/>
        <v>235.775655</v>
      </c>
      <c r="M52" s="14">
        <f t="shared" si="7"/>
        <v>231.17802972749999</v>
      </c>
    </row>
    <row r="53" spans="1:13" s="9" customFormat="1" ht="14.5" x14ac:dyDescent="0.3">
      <c r="G53" s="22"/>
      <c r="H53" s="14" t="s">
        <v>28</v>
      </c>
      <c r="I53" s="39">
        <f>SUM('Energy Schedule'!BJ31:BJ46)/4</f>
        <v>0.3</v>
      </c>
      <c r="J53" s="14">
        <f t="shared" si="4"/>
        <v>300</v>
      </c>
      <c r="K53" s="14">
        <f t="shared" si="5"/>
        <v>289.70999999999998</v>
      </c>
      <c r="L53" s="14">
        <f t="shared" si="6"/>
        <v>282.93078599999996</v>
      </c>
      <c r="M53" s="14">
        <f t="shared" si="7"/>
        <v>277.41363567299993</v>
      </c>
    </row>
    <row r="54" spans="1:13" s="9" customFormat="1" ht="14.5" x14ac:dyDescent="0.3">
      <c r="G54" s="22"/>
      <c r="H54" s="14" t="s">
        <v>31</v>
      </c>
      <c r="I54" s="38">
        <f>SUM('Energy Schedule'!BJ47:BJ78)/4</f>
        <v>0</v>
      </c>
      <c r="J54" s="14">
        <f>I54*1000</f>
        <v>0</v>
      </c>
      <c r="K54" s="14">
        <f>J54-(J54*$B$6)</f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Schedule'!BJ79:BJ94)/4</f>
        <v>0.75</v>
      </c>
      <c r="J55" s="14">
        <f t="shared" si="4"/>
        <v>750</v>
      </c>
      <c r="K55" s="14">
        <f t="shared" si="5"/>
        <v>724.27499999999998</v>
      </c>
      <c r="L55" s="14">
        <f t="shared" si="6"/>
        <v>707.32696499999997</v>
      </c>
      <c r="M55" s="14">
        <f t="shared" si="7"/>
        <v>693.5340891825</v>
      </c>
    </row>
    <row r="56" spans="1:13" s="8" customFormat="1" ht="14.5" x14ac:dyDescent="0.3">
      <c r="G56" s="22"/>
      <c r="H56" s="14" t="s">
        <v>32</v>
      </c>
      <c r="I56" s="37">
        <f>SUM('Energy Schedule'!BJ95:BJ102)/4</f>
        <v>0.5</v>
      </c>
      <c r="J56" s="14">
        <f t="shared" si="4"/>
        <v>500</v>
      </c>
      <c r="K56" s="14">
        <f t="shared" si="5"/>
        <v>482.85</v>
      </c>
      <c r="L56" s="14">
        <f t="shared" si="6"/>
        <v>471.55131</v>
      </c>
      <c r="M56" s="14">
        <f t="shared" si="7"/>
        <v>462.35605945499998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6A69-C1A7-4012-B530-2E45021A0FA1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Schedule'!BK$103</f>
        <v>0</v>
      </c>
      <c r="D3" s="33">
        <f>'Energy Schedule'!BL$103</f>
        <v>6.7249999999999996</v>
      </c>
      <c r="E3" s="33">
        <f>'Energy Schedule'!BM$103</f>
        <v>8.9250000000000007</v>
      </c>
      <c r="G3" s="22"/>
      <c r="H3" s="22"/>
    </row>
    <row r="4" spans="1:11" ht="14.5" x14ac:dyDescent="0.3">
      <c r="A4" s="31" t="s">
        <v>10</v>
      </c>
      <c r="B4" s="32"/>
      <c r="C4" s="34">
        <f>'Energy Schedule'!BK$5</f>
        <v>0</v>
      </c>
      <c r="D4" s="34">
        <f>'Energy Schedule'!BL$5</f>
        <v>27772.5749</v>
      </c>
      <c r="E4" s="34">
        <f>'Energy Schedule'!BM$5</f>
        <v>35135.35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6725</v>
      </c>
      <c r="E5" s="48">
        <f t="shared" si="0"/>
        <v>8925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6494.3325000000004</v>
      </c>
      <c r="E6" s="49">
        <f>E5-(E5*$B$6)</f>
        <v>8618.8724999999995</v>
      </c>
      <c r="G6" s="22"/>
      <c r="H6" s="62" t="s">
        <v>28</v>
      </c>
      <c r="I6" s="76">
        <f>D33</f>
        <v>809.12310404624998</v>
      </c>
      <c r="J6" s="1">
        <f>'Consumption Details'!$B23</f>
        <v>1750</v>
      </c>
      <c r="K6" s="14">
        <f>J6-I6</f>
        <v>940.87689595375002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6342.3651195000002</v>
      </c>
      <c r="E7" s="49">
        <f>E6-(E6*$B$7)</f>
        <v>8417.1908834999995</v>
      </c>
      <c r="G7" s="22"/>
      <c r="H7" s="62" t="s">
        <v>29</v>
      </c>
      <c r="I7" s="76">
        <f t="shared" ref="I7:I9" si="1">D34</f>
        <v>5964.3931669694994</v>
      </c>
      <c r="J7" s="1">
        <f>'Consumption Details'!$C23</f>
        <v>9450</v>
      </c>
      <c r="K7" s="14">
        <f t="shared" ref="K7:K9" si="2">J7-I7</f>
        <v>3485.6068330305006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6218.68899966975</v>
      </c>
      <c r="E8" s="49">
        <f>E7-(E7*$B$8)</f>
        <v>8253.0556612717501</v>
      </c>
      <c r="G8" s="22"/>
      <c r="H8" s="62" t="s">
        <v>31</v>
      </c>
      <c r="I8" s="76">
        <f t="shared" si="1"/>
        <v>4854.738624277501</v>
      </c>
      <c r="J8" s="1">
        <f>'Consumption Details'!$D23</f>
        <v>18350</v>
      </c>
      <c r="K8" s="14">
        <f t="shared" si="2"/>
        <v>13495.261375722499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6218.68899966975</v>
      </c>
      <c r="E9" s="49">
        <f>E8</f>
        <v>8253.0556612717501</v>
      </c>
      <c r="G9" s="22"/>
      <c r="H9" s="62" t="s">
        <v>32</v>
      </c>
      <c r="I9" s="76">
        <f t="shared" si="1"/>
        <v>2843.489765648249</v>
      </c>
      <c r="J9" s="1">
        <f>'Consumption Details'!$E23</f>
        <v>3650</v>
      </c>
      <c r="K9" s="14">
        <f t="shared" si="2"/>
        <v>806.51023435175102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4.4659854997532262</v>
      </c>
      <c r="E10" s="49">
        <f>E4/E9</f>
        <v>4.2572534879264143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158.71</v>
      </c>
      <c r="E11" s="49">
        <f>(E3*1000*$B$11)+(E3*1000*$B$11*18%)</f>
        <v>210.63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Schedule'!BK$6</f>
        <v>0</v>
      </c>
      <c r="D12" s="34">
        <f>'Energy Schedule'!BL$6</f>
        <v>7.74</v>
      </c>
      <c r="E12" s="34">
        <f>'Energy Schedule'!BM$6</f>
        <v>13.16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3077.36</v>
      </c>
      <c r="E13" s="49">
        <f>E3*$B$13</f>
        <v>4084.0800000000004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6.7249999999999996</v>
      </c>
      <c r="E14" s="49">
        <f>E3*$B$14</f>
        <v>8.9250000000000007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1748.5</v>
      </c>
      <c r="E15" s="49">
        <f>E3*$B$15</f>
        <v>2320.5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9.454229166666666</v>
      </c>
      <c r="E17" s="49">
        <f>E3*$B$17/24</f>
        <v>12.547062500000003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134.5</v>
      </c>
      <c r="E18" s="49">
        <f>E3*$B$18*1000</f>
        <v>178.50000000000003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12375.191109342803</v>
      </c>
      <c r="E19" s="49">
        <f>E9*$B$19</f>
        <v>16423.580765930783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6467.4365596565403</v>
      </c>
      <c r="E21" s="49">
        <f>E8*$B$21</f>
        <v>8583.1778877226207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78.355481395838851</v>
      </c>
      <c r="E23" s="49">
        <f>E9*$B$23*10.5%</f>
        <v>103.98850133202404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78.355481395838851</v>
      </c>
      <c r="E24" s="55">
        <f>E9*$B$24*10.5%</f>
        <v>103.98850133202404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24312.327860957688</v>
      </c>
      <c r="E25" s="59">
        <f>SUM(E11:E24)</f>
        <v>32213.077718817451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3.9095584072862977</v>
      </c>
      <c r="E26" s="58">
        <f>E25/E9</f>
        <v>3.9031698126041228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52084.902760957688</v>
      </c>
      <c r="E27" s="14">
        <f>E4+E25</f>
        <v>67348.427718817446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8.3755439070395248</v>
      </c>
      <c r="E28" s="16">
        <f>E27/E9</f>
        <v>8.1604233005305371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875</v>
      </c>
      <c r="D33" s="23">
        <f>M39+M46+M53</f>
        <v>809.12310404624998</v>
      </c>
      <c r="E33" s="3">
        <f>D33*B33</f>
        <v>9026.7796295159769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6450</v>
      </c>
      <c r="D34" s="13">
        <f>M41+M48+M55</f>
        <v>5964.3931669694994</v>
      </c>
      <c r="E34" s="3">
        <f>D34*B34</f>
        <v>66540.261269003473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5250</v>
      </c>
      <c r="D35" s="13">
        <f>M38+M40+M45+M47+M52+M54</f>
        <v>4854.738624277501</v>
      </c>
      <c r="E35" s="3">
        <f>D35*B35</f>
        <v>43328.542221676696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3074.9999999999991</v>
      </c>
      <c r="D36" s="13">
        <f>M37+M42+M44+M49+M51+M56</f>
        <v>2843.489765648249</v>
      </c>
      <c r="E36" s="13">
        <f>D36*B36</f>
        <v>24109.238850490092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15650</v>
      </c>
      <c r="D37" s="12">
        <f>SUM(D33:D36)</f>
        <v>14471.744660941498</v>
      </c>
      <c r="E37" s="10">
        <f>SUM(E33:E36)</f>
        <v>143004.82197068626</v>
      </c>
      <c r="F37" s="23"/>
      <c r="G37" s="22"/>
      <c r="H37" s="14" t="s">
        <v>32</v>
      </c>
      <c r="I37" s="37">
        <f>SUM('Energy Schedule'!BK7:BK26)/4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Schedule'!BK27:BK30)/4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Schedule'!BK31:BK46)/4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Schedule'!BK47:BK78)/4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Schedule'!BK79:BK94)/4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15650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Schedule'!BK95:BK102)/4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14471.744660941498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119433.33047977513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Schedule'!BL7:BL26)/4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8.2528633055639524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Schedule'!BL27:BL30)/4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143004.82197068626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Schedule'!BL31:BL46)/4</f>
        <v>0.125</v>
      </c>
      <c r="J46" s="14">
        <f t="shared" si="4"/>
        <v>125</v>
      </c>
      <c r="K46" s="14">
        <f t="shared" si="5"/>
        <v>120.71250000000001</v>
      </c>
      <c r="L46" s="14">
        <f t="shared" si="6"/>
        <v>117.8878275</v>
      </c>
      <c r="M46" s="14">
        <f t="shared" si="7"/>
        <v>115.58901486374999</v>
      </c>
    </row>
    <row r="47" spans="1:15" ht="14.5" x14ac:dyDescent="0.3">
      <c r="A47" s="47" t="s">
        <v>159</v>
      </c>
      <c r="B47" s="46">
        <f>B46/B43</f>
        <v>9.8816573482428129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Schedule'!BL47:BL78)/4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23571.491490911125</v>
      </c>
      <c r="G48" s="22"/>
      <c r="H48" s="14" t="s">
        <v>29</v>
      </c>
      <c r="I48" s="39">
        <f>SUM('Energy Schedule'!BL79:BL94)/4</f>
        <v>4.375</v>
      </c>
      <c r="J48" s="14">
        <f t="shared" si="4"/>
        <v>4375</v>
      </c>
      <c r="K48" s="14">
        <f t="shared" si="5"/>
        <v>4224.9375</v>
      </c>
      <c r="L48" s="14">
        <f t="shared" si="6"/>
        <v>4126.0739624999997</v>
      </c>
      <c r="M48" s="14">
        <f t="shared" si="7"/>
        <v>4045.6155202312498</v>
      </c>
    </row>
    <row r="49" spans="1:13" ht="14.5" x14ac:dyDescent="0.3">
      <c r="A49" s="47" t="s">
        <v>160</v>
      </c>
      <c r="B49" s="46">
        <f>B47-B45</f>
        <v>1.6287940426788605</v>
      </c>
      <c r="G49" s="22"/>
      <c r="H49" s="14" t="s">
        <v>32</v>
      </c>
      <c r="I49" s="37">
        <f>SUM('Energy Schedule'!BL95:BL102)/4</f>
        <v>0.22499999999999998</v>
      </c>
      <c r="J49" s="14">
        <f t="shared" si="4"/>
        <v>224.99999999999997</v>
      </c>
      <c r="K49" s="14">
        <f t="shared" si="5"/>
        <v>217.28249999999997</v>
      </c>
      <c r="L49" s="14">
        <f t="shared" si="6"/>
        <v>212.19808949999998</v>
      </c>
      <c r="M49" s="14">
        <f t="shared" si="7"/>
        <v>208.06022675474998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Schedule'!BM7:BM26)/4</f>
        <v>1.3499999999999996</v>
      </c>
      <c r="J51" s="14">
        <f t="shared" si="4"/>
        <v>1349.9999999999995</v>
      </c>
      <c r="K51" s="14">
        <f t="shared" si="5"/>
        <v>1303.6949999999995</v>
      </c>
      <c r="L51" s="14">
        <f t="shared" si="6"/>
        <v>1273.1885369999995</v>
      </c>
      <c r="M51" s="14">
        <f t="shared" si="7"/>
        <v>1248.3613605284995</v>
      </c>
    </row>
    <row r="52" spans="1:13" ht="14.5" x14ac:dyDescent="0.3">
      <c r="G52" s="22"/>
      <c r="H52" s="14" t="s">
        <v>31</v>
      </c>
      <c r="I52" s="38">
        <f>SUM('Energy Schedule'!BM27:BM30)/4</f>
        <v>0.2</v>
      </c>
      <c r="J52" s="14">
        <f t="shared" si="4"/>
        <v>200</v>
      </c>
      <c r="K52" s="14">
        <f t="shared" si="5"/>
        <v>193.14</v>
      </c>
      <c r="L52" s="14">
        <f t="shared" si="6"/>
        <v>188.62052399999999</v>
      </c>
      <c r="M52" s="14">
        <f t="shared" si="7"/>
        <v>184.94242378199999</v>
      </c>
    </row>
    <row r="53" spans="1:13" s="9" customFormat="1" ht="14.5" x14ac:dyDescent="0.3">
      <c r="G53" s="22"/>
      <c r="H53" s="14" t="s">
        <v>28</v>
      </c>
      <c r="I53" s="39">
        <f>SUM('Energy Schedule'!BM31:BM46)/4</f>
        <v>0.75</v>
      </c>
      <c r="J53" s="14">
        <f t="shared" si="4"/>
        <v>750</v>
      </c>
      <c r="K53" s="14">
        <f t="shared" si="5"/>
        <v>724.27499999999998</v>
      </c>
      <c r="L53" s="14">
        <f t="shared" si="6"/>
        <v>707.32696499999997</v>
      </c>
      <c r="M53" s="14">
        <f t="shared" si="7"/>
        <v>693.5340891825</v>
      </c>
    </row>
    <row r="54" spans="1:13" s="9" customFormat="1" ht="14.5" x14ac:dyDescent="0.3">
      <c r="G54" s="22"/>
      <c r="H54" s="14" t="s">
        <v>31</v>
      </c>
      <c r="I54" s="38">
        <f>SUM('Energy Schedule'!BM47:BM78)/4</f>
        <v>4.55</v>
      </c>
      <c r="J54" s="14">
        <f>I54*1000</f>
        <v>4550</v>
      </c>
      <c r="K54" s="14">
        <f>J54-(J54*$B$6)</f>
        <v>4393.9350000000004</v>
      </c>
      <c r="L54" s="14">
        <f t="shared" si="6"/>
        <v>4291.1169210000007</v>
      </c>
      <c r="M54" s="14">
        <f t="shared" si="7"/>
        <v>4207.4401410405007</v>
      </c>
    </row>
    <row r="55" spans="1:13" s="8" customFormat="1" ht="14.5" x14ac:dyDescent="0.3">
      <c r="G55" s="22"/>
      <c r="H55" s="14" t="s">
        <v>29</v>
      </c>
      <c r="I55" s="39">
        <f>SUM('Energy Schedule'!BM79:BM94)/4</f>
        <v>2.0749999999999997</v>
      </c>
      <c r="J55" s="14">
        <f t="shared" si="4"/>
        <v>2074.9999999999995</v>
      </c>
      <c r="K55" s="14">
        <f t="shared" si="5"/>
        <v>2003.8274999999996</v>
      </c>
      <c r="L55" s="14">
        <f t="shared" si="6"/>
        <v>1956.9379364999998</v>
      </c>
      <c r="M55" s="14">
        <f t="shared" si="7"/>
        <v>1918.7776467382498</v>
      </c>
    </row>
    <row r="56" spans="1:13" s="8" customFormat="1" ht="14.5" x14ac:dyDescent="0.3">
      <c r="G56" s="22"/>
      <c r="H56" s="14" t="s">
        <v>32</v>
      </c>
      <c r="I56" s="37">
        <f>SUM('Energy Schedule'!BM95:BM102)/4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4DC6-8E70-4B98-984C-6F412E32AB4C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Schedule'!BN$103</f>
        <v>0</v>
      </c>
      <c r="D3" s="33">
        <f>'Energy Schedule'!BO$103</f>
        <v>6.7750000000000004</v>
      </c>
      <c r="E3" s="33">
        <f>'Energy Schedule'!BP$103</f>
        <v>8.9250000000000007</v>
      </c>
      <c r="G3" s="22"/>
      <c r="H3" s="22"/>
    </row>
    <row r="4" spans="1:11" ht="14.5" x14ac:dyDescent="0.3">
      <c r="A4" s="31" t="s">
        <v>10</v>
      </c>
      <c r="B4" s="32"/>
      <c r="C4" s="34">
        <f>'Energy Schedule'!BN$5</f>
        <v>0</v>
      </c>
      <c r="D4" s="34">
        <f>'Energy Schedule'!BO$5</f>
        <v>28861.726200000001</v>
      </c>
      <c r="E4" s="34">
        <f>'Energy Schedule'!BP$5</f>
        <v>19716.8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6775</v>
      </c>
      <c r="E5" s="48">
        <f t="shared" si="0"/>
        <v>8925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6542.6175000000003</v>
      </c>
      <c r="E6" s="49">
        <f>E5-(E5*$B$6)</f>
        <v>8618.8724999999995</v>
      </c>
      <c r="G6" s="22"/>
      <c r="H6" s="62" t="s">
        <v>28</v>
      </c>
      <c r="I6" s="76">
        <f>D33</f>
        <v>924.71211890999996</v>
      </c>
      <c r="J6" s="1">
        <f>'Consumption Details'!$B24</f>
        <v>1800</v>
      </c>
      <c r="K6" s="14">
        <f>J6-I6</f>
        <v>875.28788109000004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6389.5202505000007</v>
      </c>
      <c r="E7" s="49">
        <f>E6-(E6*$B$7)</f>
        <v>8417.1908834999995</v>
      </c>
      <c r="G7" s="22"/>
      <c r="H7" s="62" t="s">
        <v>29</v>
      </c>
      <c r="I7" s="76">
        <f t="shared" ref="I7:I9" si="1">D34</f>
        <v>5964.3931669694994</v>
      </c>
      <c r="J7" s="1">
        <f>'Consumption Details'!$C24</f>
        <v>9400</v>
      </c>
      <c r="K7" s="14">
        <f t="shared" ref="K7:K9" si="2">J7-I7</f>
        <v>3435.6068330305006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6264.9246056152506</v>
      </c>
      <c r="E8" s="49">
        <f>E7-(E7*$B$8)</f>
        <v>8253.0556612717501</v>
      </c>
      <c r="G8" s="22"/>
      <c r="H8" s="62" t="s">
        <v>31</v>
      </c>
      <c r="I8" s="76">
        <f t="shared" si="1"/>
        <v>4854.738624277501</v>
      </c>
      <c r="J8" s="1">
        <f>'Consumption Details'!$D24</f>
        <v>17300</v>
      </c>
      <c r="K8" s="14">
        <f t="shared" si="2"/>
        <v>12445.261375722499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6264.9246056152506</v>
      </c>
      <c r="E9" s="49">
        <f>E8</f>
        <v>8253.0556612717501</v>
      </c>
      <c r="G9" s="22"/>
      <c r="H9" s="62" t="s">
        <v>32</v>
      </c>
      <c r="I9" s="76">
        <f t="shared" si="1"/>
        <v>2774.1363567299991</v>
      </c>
      <c r="J9" s="1">
        <f>'Consumption Details'!$E24</f>
        <v>3800</v>
      </c>
      <c r="K9" s="14">
        <f t="shared" si="2"/>
        <v>1025.8636432700009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4.6068752645692239</v>
      </c>
      <c r="E10" s="49">
        <f>E4/E9</f>
        <v>2.3890302948667803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159.88999999999999</v>
      </c>
      <c r="E11" s="49">
        <f>(E3*1000*$B$11)+(E3*1000*$B$11*18%)</f>
        <v>210.63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Schedule'!BN$6</f>
        <v>0</v>
      </c>
      <c r="D12" s="34">
        <f>'Energy Schedule'!BO$6</f>
        <v>8.1300000000000008</v>
      </c>
      <c r="E12" s="34">
        <f>'Energy Schedule'!BP$6</f>
        <v>12.53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3100.2400000000002</v>
      </c>
      <c r="E13" s="49">
        <f>E3*$B$13</f>
        <v>4084.0800000000004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6.7750000000000004</v>
      </c>
      <c r="E14" s="49">
        <f>E3*$B$14</f>
        <v>8.9250000000000007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1761.5</v>
      </c>
      <c r="E15" s="49">
        <f>E3*$B$15</f>
        <v>2320.5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9.5245208333333355</v>
      </c>
      <c r="E17" s="49">
        <f>E3*$B$17/24</f>
        <v>12.547062500000003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135.5</v>
      </c>
      <c r="E18" s="49">
        <f>E3*$B$18*1000</f>
        <v>178.50000000000003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12467.199965174348</v>
      </c>
      <c r="E19" s="49">
        <f>E9*$B$19</f>
        <v>16423.580765930783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6515.521589839861</v>
      </c>
      <c r="E21" s="49">
        <f>E8*$B$21</f>
        <v>8583.1778877226207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78.938050030752152</v>
      </c>
      <c r="E23" s="49">
        <f>E9*$B$23*10.5%</f>
        <v>103.98850133202404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78.938050030752152</v>
      </c>
      <c r="E24" s="55">
        <f>E9*$B$24*10.5%</f>
        <v>103.98850133202404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24492.157175909048</v>
      </c>
      <c r="E25" s="59">
        <f>SUM(E11:E24)</f>
        <v>32212.447718817453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3.9094097244134005</v>
      </c>
      <c r="E26" s="58">
        <f>E25/E9</f>
        <v>3.9030934772410943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53353.883375909048</v>
      </c>
      <c r="E27" s="14">
        <f>E4+E25</f>
        <v>51929.247718817453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8.5162849889826244</v>
      </c>
      <c r="E28" s="16">
        <f>E27/E9</f>
        <v>6.2921237721078747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1000</v>
      </c>
      <c r="D33" s="23">
        <f>M39+M46+M53</f>
        <v>924.71211890999996</v>
      </c>
      <c r="E33" s="3">
        <f>D33*B33</f>
        <v>10316.319576589687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6450</v>
      </c>
      <c r="D34" s="13">
        <f>M41+M48+M55</f>
        <v>5964.3931669694994</v>
      </c>
      <c r="E34" s="3">
        <f>D34*B34</f>
        <v>66540.261269003473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5250</v>
      </c>
      <c r="D35" s="13">
        <f>M38+M40+M45+M47+M52+M54</f>
        <v>4854.738624277501</v>
      </c>
      <c r="E35" s="3">
        <f>D35*B35</f>
        <v>43328.542221676696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2999.9999999999991</v>
      </c>
      <c r="D36" s="13">
        <f>M37+M42+M44+M49+M51+M56</f>
        <v>2774.1363567299991</v>
      </c>
      <c r="E36" s="13">
        <f>D36*B36</f>
        <v>23521.20863462448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15700</v>
      </c>
      <c r="D37" s="12">
        <f>SUM(D33:D36)</f>
        <v>14517.980266887</v>
      </c>
      <c r="E37" s="10">
        <f>SUM(E33:E36)</f>
        <v>143706.33170189435</v>
      </c>
      <c r="F37" s="23"/>
      <c r="G37" s="22"/>
      <c r="H37" s="14" t="s">
        <v>32</v>
      </c>
      <c r="I37" s="37">
        <f>SUM('Energy Schedule'!BN7:BN26)/4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Schedule'!BN27:BN30)/4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Schedule'!BN31:BN46)/4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Schedule'!BN47:BN78)/4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Schedule'!BN79:BN94)/4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15700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Schedule'!BN95:BN102)/4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14517.980266887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105283.1310947265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Schedule'!BO7:BO26)/4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7.2519130870331256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Schedule'!BO27:BO30)/4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143706.33170189435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Schedule'!BO31:BO46)/4</f>
        <v>0.25</v>
      </c>
      <c r="J46" s="14">
        <f t="shared" si="4"/>
        <v>250</v>
      </c>
      <c r="K46" s="14">
        <f t="shared" si="5"/>
        <v>241.42500000000001</v>
      </c>
      <c r="L46" s="14">
        <f t="shared" si="6"/>
        <v>235.775655</v>
      </c>
      <c r="M46" s="14">
        <f t="shared" si="7"/>
        <v>231.17802972749999</v>
      </c>
    </row>
    <row r="47" spans="1:15" ht="14.5" x14ac:dyDescent="0.3">
      <c r="A47" s="47" t="s">
        <v>159</v>
      </c>
      <c r="B47" s="46">
        <f>B46/B43</f>
        <v>9.8985071656050962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Schedule'!BO47:BO78)/4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38423.200607167848</v>
      </c>
      <c r="G48" s="22"/>
      <c r="H48" s="14" t="s">
        <v>29</v>
      </c>
      <c r="I48" s="39">
        <f>SUM('Energy Schedule'!BO79:BO94)/4</f>
        <v>4.375</v>
      </c>
      <c r="J48" s="14">
        <f t="shared" si="4"/>
        <v>4375</v>
      </c>
      <c r="K48" s="14">
        <f t="shared" si="5"/>
        <v>4224.9375</v>
      </c>
      <c r="L48" s="14">
        <f t="shared" si="6"/>
        <v>4126.0739624999997</v>
      </c>
      <c r="M48" s="14">
        <f t="shared" si="7"/>
        <v>4045.6155202312498</v>
      </c>
    </row>
    <row r="49" spans="1:13" ht="14.5" x14ac:dyDescent="0.3">
      <c r="A49" s="47" t="s">
        <v>160</v>
      </c>
      <c r="B49" s="46">
        <f>B47-B45</f>
        <v>2.6465940785719706</v>
      </c>
      <c r="G49" s="22"/>
      <c r="H49" s="14" t="s">
        <v>32</v>
      </c>
      <c r="I49" s="37">
        <f>SUM('Energy Schedule'!BO95:BO102)/4</f>
        <v>0.15</v>
      </c>
      <c r="J49" s="14">
        <f t="shared" si="4"/>
        <v>150</v>
      </c>
      <c r="K49" s="14">
        <f t="shared" si="5"/>
        <v>144.85499999999999</v>
      </c>
      <c r="L49" s="14">
        <f t="shared" si="6"/>
        <v>141.46539299999998</v>
      </c>
      <c r="M49" s="14">
        <f t="shared" si="7"/>
        <v>138.70681783649997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Schedule'!BP7:BP26)/4</f>
        <v>1.3499999999999996</v>
      </c>
      <c r="J51" s="14">
        <f t="shared" si="4"/>
        <v>1349.9999999999995</v>
      </c>
      <c r="K51" s="14">
        <f t="shared" si="5"/>
        <v>1303.6949999999995</v>
      </c>
      <c r="L51" s="14">
        <f t="shared" si="6"/>
        <v>1273.1885369999995</v>
      </c>
      <c r="M51" s="14">
        <f t="shared" si="7"/>
        <v>1248.3613605284995</v>
      </c>
    </row>
    <row r="52" spans="1:13" ht="14.5" x14ac:dyDescent="0.3">
      <c r="G52" s="22"/>
      <c r="H52" s="14" t="s">
        <v>31</v>
      </c>
      <c r="I52" s="38">
        <f>SUM('Energy Schedule'!BP27:BP30)/4</f>
        <v>0.2</v>
      </c>
      <c r="J52" s="14">
        <f t="shared" si="4"/>
        <v>200</v>
      </c>
      <c r="K52" s="14">
        <f t="shared" si="5"/>
        <v>193.14</v>
      </c>
      <c r="L52" s="14">
        <f t="shared" si="6"/>
        <v>188.62052399999999</v>
      </c>
      <c r="M52" s="14">
        <f t="shared" si="7"/>
        <v>184.94242378199999</v>
      </c>
    </row>
    <row r="53" spans="1:13" s="9" customFormat="1" ht="14.5" x14ac:dyDescent="0.3">
      <c r="G53" s="22"/>
      <c r="H53" s="14" t="s">
        <v>28</v>
      </c>
      <c r="I53" s="39">
        <f>SUM('Energy Schedule'!BP31:BP46)/4</f>
        <v>0.75</v>
      </c>
      <c r="J53" s="14">
        <f t="shared" si="4"/>
        <v>750</v>
      </c>
      <c r="K53" s="14">
        <f t="shared" si="5"/>
        <v>724.27499999999998</v>
      </c>
      <c r="L53" s="14">
        <f t="shared" si="6"/>
        <v>707.32696499999997</v>
      </c>
      <c r="M53" s="14">
        <f t="shared" si="7"/>
        <v>693.5340891825</v>
      </c>
    </row>
    <row r="54" spans="1:13" s="9" customFormat="1" ht="14.5" x14ac:dyDescent="0.3">
      <c r="G54" s="22"/>
      <c r="H54" s="14" t="s">
        <v>31</v>
      </c>
      <c r="I54" s="38">
        <f>SUM('Energy Schedule'!BP47:BP78)/4</f>
        <v>4.55</v>
      </c>
      <c r="J54" s="14">
        <f>I54*1000</f>
        <v>4550</v>
      </c>
      <c r="K54" s="14">
        <f>J54-(J54*$B$6)</f>
        <v>4393.9350000000004</v>
      </c>
      <c r="L54" s="14">
        <f t="shared" si="6"/>
        <v>4291.1169210000007</v>
      </c>
      <c r="M54" s="14">
        <f t="shared" si="7"/>
        <v>4207.4401410405007</v>
      </c>
    </row>
    <row r="55" spans="1:13" s="8" customFormat="1" ht="14.5" x14ac:dyDescent="0.3">
      <c r="G55" s="22"/>
      <c r="H55" s="14" t="s">
        <v>29</v>
      </c>
      <c r="I55" s="39">
        <f>SUM('Energy Schedule'!BP79:BP94)/4</f>
        <v>2.0749999999999997</v>
      </c>
      <c r="J55" s="14">
        <f t="shared" si="4"/>
        <v>2074.9999999999995</v>
      </c>
      <c r="K55" s="14">
        <f t="shared" si="5"/>
        <v>2003.8274999999996</v>
      </c>
      <c r="L55" s="14">
        <f t="shared" si="6"/>
        <v>1956.9379364999998</v>
      </c>
      <c r="M55" s="14">
        <f t="shared" si="7"/>
        <v>1918.7776467382498</v>
      </c>
    </row>
    <row r="56" spans="1:13" s="8" customFormat="1" ht="14.5" x14ac:dyDescent="0.3">
      <c r="G56" s="22"/>
      <c r="H56" s="14" t="s">
        <v>32</v>
      </c>
      <c r="I56" s="37">
        <f>SUM('Energy Schedule'!BP95:BP102)/4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166C-68E9-4909-84BB-93E95EA1515E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Schedule'!BQ$103</f>
        <v>0</v>
      </c>
      <c r="D3" s="33">
        <f>'Energy Schedule'!BR$103</f>
        <v>6.85</v>
      </c>
      <c r="E3" s="33">
        <f>'Energy Schedule'!BS$103</f>
        <v>4.0250000000000004</v>
      </c>
      <c r="G3" s="22"/>
      <c r="H3" s="22"/>
    </row>
    <row r="4" spans="1:11" ht="14.5" x14ac:dyDescent="0.3">
      <c r="A4" s="31" t="s">
        <v>10</v>
      </c>
      <c r="B4" s="32"/>
      <c r="C4" s="34">
        <f>'Energy Schedule'!BQ$5</f>
        <v>0</v>
      </c>
      <c r="D4" s="34">
        <f>'Energy Schedule'!BR$5</f>
        <v>26822.5838</v>
      </c>
      <c r="E4" s="34">
        <f>'Energy Schedule'!BS$5</f>
        <v>15252.89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6850</v>
      </c>
      <c r="E5" s="48">
        <f t="shared" si="0"/>
        <v>4025.0000000000005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6615.0450000000001</v>
      </c>
      <c r="E6" s="49">
        <f>E5-(E5*$B$6)</f>
        <v>3886.9425000000006</v>
      </c>
      <c r="G6" s="22"/>
      <c r="H6" s="62" t="s">
        <v>28</v>
      </c>
      <c r="I6" s="76">
        <f>D33</f>
        <v>416.12045350949995</v>
      </c>
      <c r="J6" s="1">
        <f>'Consumption Details'!$B25</f>
        <v>1600</v>
      </c>
      <c r="K6" s="14">
        <f>J6-I6</f>
        <v>1183.8795464905002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6460.2529469999999</v>
      </c>
      <c r="E7" s="49">
        <f>E6-(E6*$B$7)</f>
        <v>3795.9880455000007</v>
      </c>
      <c r="G7" s="22"/>
      <c r="H7" s="62" t="s">
        <v>29</v>
      </c>
      <c r="I7" s="76">
        <f t="shared" ref="I7:I9" si="1">D34</f>
        <v>5548.27271346</v>
      </c>
      <c r="J7" s="1">
        <f>'Consumption Details'!$C25</f>
        <v>9650</v>
      </c>
      <c r="K7" s="14">
        <f t="shared" ref="K7:K9" si="2">J7-I7</f>
        <v>4101.72728654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6334.2780145335</v>
      </c>
      <c r="E8" s="49">
        <f>E7-(E7*$B$8)</f>
        <v>3721.9662786127506</v>
      </c>
      <c r="G8" s="22"/>
      <c r="H8" s="62" t="s">
        <v>31</v>
      </c>
      <c r="I8" s="76">
        <f t="shared" si="1"/>
        <v>1248.3613605285</v>
      </c>
      <c r="J8" s="1">
        <f>'Consumption Details'!$D26</f>
        <v>20650</v>
      </c>
      <c r="K8" s="14">
        <f t="shared" si="2"/>
        <v>19401.638639471501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6334.2780145335</v>
      </c>
      <c r="E9" s="49">
        <f>E8</f>
        <v>3721.9662786127506</v>
      </c>
      <c r="G9" s="22"/>
      <c r="H9" s="62" t="s">
        <v>32</v>
      </c>
      <c r="I9" s="76">
        <f t="shared" si="1"/>
        <v>2843.489765648249</v>
      </c>
      <c r="J9" s="1">
        <f>'Consumption Details'!$E25</f>
        <v>3900</v>
      </c>
      <c r="K9" s="14">
        <f t="shared" si="2"/>
        <v>1056.510234351751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4.2345131897364947</v>
      </c>
      <c r="E10" s="49">
        <f>E4/E9</f>
        <v>4.0980731307659912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161.66</v>
      </c>
      <c r="E11" s="49">
        <f>(E3*1000*$B$11)+(E3*1000*$B$11*18%)</f>
        <v>94.990000000000009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Schedule'!BQ$6</f>
        <v>0</v>
      </c>
      <c r="D12" s="34">
        <f>'Energy Schedule'!BR$6</f>
        <v>7.69</v>
      </c>
      <c r="E12" s="34">
        <f>'Energy Schedule'!BS$6</f>
        <v>11.79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3134.56</v>
      </c>
      <c r="E13" s="49">
        <f>E3*$B$13</f>
        <v>1841.8400000000001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6.85</v>
      </c>
      <c r="E14" s="49">
        <f>E3*$B$14</f>
        <v>4.0250000000000004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1781</v>
      </c>
      <c r="E15" s="49">
        <f>E3*$B$15</f>
        <v>1046.5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9.6299583333333327</v>
      </c>
      <c r="E17" s="49">
        <f>E3*$B$17/24</f>
        <v>5.6584791666666669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136.99999999999997</v>
      </c>
      <c r="E18" s="49">
        <f>E3*$B$18*1000</f>
        <v>80.5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12605.213248921666</v>
      </c>
      <c r="E19" s="49">
        <f>E9*$B$19</f>
        <v>7406.7128944393735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6587.6491351148406</v>
      </c>
      <c r="E21" s="49">
        <f>E8*$B$21</f>
        <v>3870.8449297572606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79.811902983122096</v>
      </c>
      <c r="E23" s="49">
        <f>E9*$B$23*10.5%</f>
        <v>46.896775110520657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79.811902983122096</v>
      </c>
      <c r="E24" s="55">
        <f>E9*$B$24*10.5%</f>
        <v>46.896775110520657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24760.876148336083</v>
      </c>
      <c r="E25" s="59">
        <f>SUM(E11:E24)</f>
        <v>14626.654853584343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3.9090289519222572</v>
      </c>
      <c r="E26" s="58">
        <f>E25/E9</f>
        <v>3.9298192833267644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51583.45994833608</v>
      </c>
      <c r="E27" s="14">
        <f>E4+E25</f>
        <v>29879.544853584342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8.1435421416587506</v>
      </c>
      <c r="E28" s="16">
        <f>E27/E9</f>
        <v>8.0278924140927561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450</v>
      </c>
      <c r="D33" s="23">
        <f>M39+M46+M53</f>
        <v>416.12045350949995</v>
      </c>
      <c r="E33" s="3">
        <f>D33*B33</f>
        <v>4642.3438094653593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6000</v>
      </c>
      <c r="D34" s="13">
        <f>M41+M48+M55</f>
        <v>5548.27271346</v>
      </c>
      <c r="E34" s="3">
        <f>D34*B34</f>
        <v>61897.917459538126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1350</v>
      </c>
      <c r="D35" s="13">
        <f>M38+M40+M45+M47+M52+M54</f>
        <v>1248.3613605285</v>
      </c>
      <c r="E35" s="3">
        <f>D35*B35</f>
        <v>11141.625142716863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3074.9999999999991</v>
      </c>
      <c r="D36" s="13">
        <f>M37+M42+M44+M49+M51+M56</f>
        <v>2843.489765648249</v>
      </c>
      <c r="E36" s="13">
        <f>D36*B36</f>
        <v>24109.238850490092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10875</v>
      </c>
      <c r="D37" s="12">
        <f>SUM(D33:D36)</f>
        <v>10056.24429314625</v>
      </c>
      <c r="E37" s="10">
        <f>SUM(E33:E36)</f>
        <v>101791.12526221044</v>
      </c>
      <c r="F37" s="23"/>
      <c r="G37" s="22"/>
      <c r="H37" s="14" t="s">
        <v>32</v>
      </c>
      <c r="I37" s="37">
        <f>SUM('Energy Schedule'!BQ7:BQ26)/4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Schedule'!BQ27:BQ30)/4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Schedule'!BQ31:BQ46)/4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Schedule'!BQ47:BQ78)/4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Schedule'!BQ79:BQ94)/4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10875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Schedule'!BQ95:BQ102)/4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10056.24429314625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81463.004801920426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Schedule'!BR7:BR26)/4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8.1007384493871992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Schedule'!BR27:BR30)/4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101791.12526221044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Schedule'!BR31:BR46)/4</f>
        <v>0.25</v>
      </c>
      <c r="J46" s="14">
        <f t="shared" si="4"/>
        <v>250</v>
      </c>
      <c r="K46" s="14">
        <f t="shared" si="5"/>
        <v>241.42500000000001</v>
      </c>
      <c r="L46" s="14">
        <f t="shared" si="6"/>
        <v>235.775655</v>
      </c>
      <c r="M46" s="14">
        <f t="shared" si="7"/>
        <v>231.17802972749999</v>
      </c>
    </row>
    <row r="47" spans="1:15" ht="14.5" x14ac:dyDescent="0.3">
      <c r="A47" s="47" t="s">
        <v>159</v>
      </c>
      <c r="B47" s="46">
        <f>B46/B43</f>
        <v>10.122181034482757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Schedule'!BR47:BR78)/4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20328.120460290011</v>
      </c>
      <c r="G48" s="22"/>
      <c r="H48" s="14" t="s">
        <v>29</v>
      </c>
      <c r="I48" s="39">
        <f>SUM('Energy Schedule'!BR79:BR94)/4</f>
        <v>4.375</v>
      </c>
      <c r="J48" s="14">
        <f t="shared" si="4"/>
        <v>4375</v>
      </c>
      <c r="K48" s="14">
        <f t="shared" si="5"/>
        <v>4224.9375</v>
      </c>
      <c r="L48" s="14">
        <f t="shared" si="6"/>
        <v>4126.0739624999997</v>
      </c>
      <c r="M48" s="14">
        <f t="shared" si="7"/>
        <v>4045.6155202312498</v>
      </c>
    </row>
    <row r="49" spans="1:13" ht="14.5" x14ac:dyDescent="0.3">
      <c r="A49" s="47" t="s">
        <v>160</v>
      </c>
      <c r="B49" s="46">
        <f>B47-B45</f>
        <v>2.0214425850955582</v>
      </c>
      <c r="G49" s="22"/>
      <c r="H49" s="14" t="s">
        <v>32</v>
      </c>
      <c r="I49" s="37">
        <f>SUM('Energy Schedule'!BR95:BR102)/4</f>
        <v>0.22499999999999998</v>
      </c>
      <c r="J49" s="14">
        <f t="shared" si="4"/>
        <v>224.99999999999997</v>
      </c>
      <c r="K49" s="14">
        <f t="shared" si="5"/>
        <v>217.28249999999997</v>
      </c>
      <c r="L49" s="14">
        <f t="shared" si="6"/>
        <v>212.19808949999998</v>
      </c>
      <c r="M49" s="14">
        <f t="shared" si="7"/>
        <v>208.06022675474998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Schedule'!BS7:BS26)/4</f>
        <v>1.3499999999999996</v>
      </c>
      <c r="J51" s="14">
        <f t="shared" si="4"/>
        <v>1349.9999999999995</v>
      </c>
      <c r="K51" s="14">
        <f t="shared" si="5"/>
        <v>1303.6949999999995</v>
      </c>
      <c r="L51" s="14">
        <f t="shared" si="6"/>
        <v>1273.1885369999995</v>
      </c>
      <c r="M51" s="14">
        <f t="shared" si="7"/>
        <v>1248.3613605284995</v>
      </c>
    </row>
    <row r="52" spans="1:13" ht="14.5" x14ac:dyDescent="0.3">
      <c r="G52" s="22"/>
      <c r="H52" s="14" t="s">
        <v>31</v>
      </c>
      <c r="I52" s="38">
        <f>SUM('Energy Schedule'!BS27:BS30)/4</f>
        <v>0.2</v>
      </c>
      <c r="J52" s="14">
        <f t="shared" si="4"/>
        <v>200</v>
      </c>
      <c r="K52" s="14">
        <f t="shared" si="5"/>
        <v>193.14</v>
      </c>
      <c r="L52" s="14">
        <f t="shared" si="6"/>
        <v>188.62052399999999</v>
      </c>
      <c r="M52" s="14">
        <f t="shared" si="7"/>
        <v>184.94242378199999</v>
      </c>
    </row>
    <row r="53" spans="1:13" s="9" customFormat="1" ht="14.5" x14ac:dyDescent="0.3">
      <c r="G53" s="22"/>
      <c r="H53" s="14" t="s">
        <v>28</v>
      </c>
      <c r="I53" s="39">
        <f>SUM('Energy Schedule'!BS31:BS46)/4</f>
        <v>0.2</v>
      </c>
      <c r="J53" s="14">
        <f t="shared" si="4"/>
        <v>200</v>
      </c>
      <c r="K53" s="14">
        <f t="shared" si="5"/>
        <v>193.14</v>
      </c>
      <c r="L53" s="14">
        <f t="shared" si="6"/>
        <v>188.62052399999999</v>
      </c>
      <c r="M53" s="14">
        <f t="shared" si="7"/>
        <v>184.94242378199999</v>
      </c>
    </row>
    <row r="54" spans="1:13" s="9" customFormat="1" ht="14.5" x14ac:dyDescent="0.3">
      <c r="G54" s="22"/>
      <c r="H54" s="14" t="s">
        <v>31</v>
      </c>
      <c r="I54" s="38">
        <f>SUM('Energy Schedule'!BS47:BS78)/4</f>
        <v>0.65</v>
      </c>
      <c r="J54" s="14">
        <f>I54*1000</f>
        <v>650</v>
      </c>
      <c r="K54" s="14">
        <f>J54-(J54*$B$6)</f>
        <v>627.70500000000004</v>
      </c>
      <c r="L54" s="14">
        <f t="shared" si="6"/>
        <v>613.01670300000001</v>
      </c>
      <c r="M54" s="14">
        <f t="shared" si="7"/>
        <v>601.06287729150006</v>
      </c>
    </row>
    <row r="55" spans="1:13" s="8" customFormat="1" ht="14.5" x14ac:dyDescent="0.3">
      <c r="G55" s="22"/>
      <c r="H55" s="14" t="s">
        <v>29</v>
      </c>
      <c r="I55" s="39">
        <f>SUM('Energy Schedule'!BS79:BS94)/4</f>
        <v>1.625</v>
      </c>
      <c r="J55" s="14">
        <f t="shared" si="4"/>
        <v>1625</v>
      </c>
      <c r="K55" s="14">
        <f t="shared" si="5"/>
        <v>1569.2625</v>
      </c>
      <c r="L55" s="14">
        <f t="shared" si="6"/>
        <v>1532.5417575000001</v>
      </c>
      <c r="M55" s="14">
        <f t="shared" si="7"/>
        <v>1502.6571932287502</v>
      </c>
    </row>
    <row r="56" spans="1:13" s="8" customFormat="1" ht="14.5" x14ac:dyDescent="0.3">
      <c r="G56" s="22"/>
      <c r="H56" s="14" t="s">
        <v>32</v>
      </c>
      <c r="I56" s="37">
        <f>SUM('Energy Schedule'!BS95:BS102)/4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A251-4644-41EC-B2A2-12860699385C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Schedule'!BT$103</f>
        <v>0</v>
      </c>
      <c r="D3" s="33">
        <f>'Energy Schedule'!BU$103</f>
        <v>13.53</v>
      </c>
      <c r="E3" s="33">
        <f>'Energy Schedule'!BV$103</f>
        <v>2.5750000000000002</v>
      </c>
      <c r="G3" s="22"/>
      <c r="H3" s="22"/>
    </row>
    <row r="4" spans="1:11" ht="14.5" x14ac:dyDescent="0.3">
      <c r="A4" s="31" t="s">
        <v>10</v>
      </c>
      <c r="B4" s="32"/>
      <c r="C4" s="34">
        <f>'Energy Schedule'!BT$5</f>
        <v>0</v>
      </c>
      <c r="D4" s="34">
        <f>'Energy Schedule'!BU$5</f>
        <v>49873.604099999997</v>
      </c>
      <c r="E4" s="34">
        <f>'Energy Schedule'!BV$5</f>
        <v>8203.36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13530</v>
      </c>
      <c r="E5" s="48">
        <f t="shared" si="0"/>
        <v>2575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13065.921</v>
      </c>
      <c r="E6" s="49">
        <f>E5-(E5*$B$6)</f>
        <v>2486.6774999999998</v>
      </c>
      <c r="G6" s="22"/>
      <c r="H6" s="62" t="s">
        <v>28</v>
      </c>
      <c r="I6" s="76">
        <f>D33</f>
        <v>254.29583270024995</v>
      </c>
      <c r="J6" s="1">
        <f>'Consumption Details'!$B26</f>
        <v>2500</v>
      </c>
      <c r="K6" s="14">
        <f>J6-I6</f>
        <v>2245.7041672997502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12760.1784486</v>
      </c>
      <c r="E7" s="49">
        <f>E6-(E6*$B$7)</f>
        <v>2428.4892464999998</v>
      </c>
      <c r="G7" s="22"/>
      <c r="H7" s="62" t="s">
        <v>29</v>
      </c>
      <c r="I7" s="76">
        <f t="shared" ref="I7:I9" si="1">D34</f>
        <v>4877.8564272502499</v>
      </c>
      <c r="J7" s="1">
        <f>'Consumption Details'!$C26</f>
        <v>11050</v>
      </c>
      <c r="K7" s="14">
        <f t="shared" ref="K7:K9" si="2">J7-I7</f>
        <v>6172.1435727497501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12511.3549688523</v>
      </c>
      <c r="E8" s="49">
        <f>E7-(E7*$B$8)</f>
        <v>2381.13370619325</v>
      </c>
      <c r="G8" s="22"/>
      <c r="H8" s="62" t="s">
        <v>31</v>
      </c>
      <c r="I8" s="76">
        <f t="shared" si="1"/>
        <v>6616.315210801049</v>
      </c>
      <c r="J8" s="1">
        <f>'Consumption Details'!$D27</f>
        <v>22100</v>
      </c>
      <c r="K8" s="14">
        <f t="shared" si="2"/>
        <v>15483.684789198951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12511.3549688523</v>
      </c>
      <c r="E9" s="49">
        <f>E8</f>
        <v>2381.13370619325</v>
      </c>
      <c r="G9" s="22"/>
      <c r="H9" s="62" t="s">
        <v>32</v>
      </c>
      <c r="I9" s="76">
        <f t="shared" si="1"/>
        <v>3144.0212042939988</v>
      </c>
      <c r="J9" s="1">
        <f>'Consumption Details'!$E26</f>
        <v>4300</v>
      </c>
      <c r="K9" s="14">
        <f t="shared" si="2"/>
        <v>1155.9787957060012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3.9862672127969394</v>
      </c>
      <c r="E10" s="49">
        <f>E4/E9</f>
        <v>3.4451488291746628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319.30800000000005</v>
      </c>
      <c r="E11" s="49">
        <f>(E3*1000*$B$11)+(E3*1000*$B$11*18%)</f>
        <v>60.769999999999996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Schedule'!BT$6</f>
        <v>0</v>
      </c>
      <c r="D12" s="34">
        <f>'Energy Schedule'!BU$6</f>
        <v>7.42</v>
      </c>
      <c r="E12" s="34">
        <f>'Energy Schedule'!BV$6</f>
        <v>13.02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6191.3280000000004</v>
      </c>
      <c r="E13" s="49">
        <f>E3*$B$13</f>
        <v>1178.3200000000002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13.53</v>
      </c>
      <c r="E14" s="49">
        <f>E3*$B$14</f>
        <v>2.5750000000000002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3517.7999999999997</v>
      </c>
      <c r="E15" s="49">
        <f>E3*$B$15</f>
        <v>669.5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170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19.020925000000002</v>
      </c>
      <c r="E17" s="49">
        <f>E3*$B$17/24</f>
        <v>3.6200208333333337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270.60000000000002</v>
      </c>
      <c r="E18" s="49">
        <f>E3*$B$18*1000</f>
        <v>51.500000000000007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24897.596388016078</v>
      </c>
      <c r="E19" s="49">
        <f>E9*$B$19</f>
        <v>4738.4560753245678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13011.809167606392</v>
      </c>
      <c r="E21" s="49">
        <f>E8*$B$21</f>
        <v>2476.3790544409799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157.64307260753895</v>
      </c>
      <c r="E23" s="49">
        <f>E9*$B$23*10.5%</f>
        <v>30.002284698034948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157.64307260753895</v>
      </c>
      <c r="E24" s="55">
        <f>E9*$B$24*10.5%</f>
        <v>30.002284698034948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48733.698625837555</v>
      </c>
      <c r="E25" s="59">
        <f>SUM(E11:E24)</f>
        <v>9424.1447199949525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3.8951575386648969</v>
      </c>
      <c r="E26" s="58">
        <f>E25/E9</f>
        <v>3.9578393668037473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98607.302725837551</v>
      </c>
      <c r="E27" s="14">
        <f>E4+E25</f>
        <v>17627.504719994955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7.8814247514618367</v>
      </c>
      <c r="E28" s="16">
        <f>E27/E9</f>
        <v>7.402988195978411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275</v>
      </c>
      <c r="D33" s="23">
        <f>M39+M46+M53</f>
        <v>254.29583270024995</v>
      </c>
      <c r="E33" s="3">
        <f>D33*B33</f>
        <v>2836.9878835621635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5275</v>
      </c>
      <c r="D34" s="13">
        <f>M41+M48+M55</f>
        <v>4877.8564272502499</v>
      </c>
      <c r="E34" s="3">
        <f>D34*B34</f>
        <v>54418.585766510601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7155</v>
      </c>
      <c r="D35" s="13">
        <f>M38+M40+M45+M47+M52+M54</f>
        <v>6616.315210801049</v>
      </c>
      <c r="E35" s="3">
        <f>D35*B35</f>
        <v>59050.613256399367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3399.9999999999991</v>
      </c>
      <c r="D36" s="13">
        <f>M37+M42+M44+M49+M51+M56</f>
        <v>3144.0212042939988</v>
      </c>
      <c r="E36" s="13">
        <f>D36*B36</f>
        <v>26657.36978590774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16105</v>
      </c>
      <c r="D37" s="12">
        <f>SUM(D33:D36)</f>
        <v>14892.488675045546</v>
      </c>
      <c r="E37" s="10">
        <f>SUM(E33:E36)</f>
        <v>142963.55669237988</v>
      </c>
      <c r="F37" s="23"/>
      <c r="G37" s="22"/>
      <c r="H37" s="14" t="s">
        <v>32</v>
      </c>
      <c r="I37" s="37">
        <f>SUM('Energy Schedule'!BT7:BT26)/4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Schedule'!BT27:BT30)/4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Schedule'!BT31:BT46)/4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Schedule'!BT47:BT78)/4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Schedule'!BT79:BT94)/4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16105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Schedule'!BT95:BT102)/4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14892.488675045546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116234.8074458325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Schedule'!BU7:BU26)/4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7.8049283757791414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Schedule'!BU27:BU30)/4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142963.55669237988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Schedule'!BU31:BU46)/4</f>
        <v>0.125</v>
      </c>
      <c r="J46" s="14">
        <f t="shared" si="4"/>
        <v>125</v>
      </c>
      <c r="K46" s="14">
        <f t="shared" si="5"/>
        <v>120.71250000000001</v>
      </c>
      <c r="L46" s="14">
        <f t="shared" si="6"/>
        <v>117.8878275</v>
      </c>
      <c r="M46" s="14">
        <f t="shared" si="7"/>
        <v>115.58901486374999</v>
      </c>
    </row>
    <row r="47" spans="1:15" ht="14.5" x14ac:dyDescent="0.3">
      <c r="A47" s="47" t="s">
        <v>159</v>
      </c>
      <c r="B47" s="46">
        <f>B46/B43</f>
        <v>9.5997089413225716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Schedule'!BU47:BU78)/4</f>
        <v>6.5049999999999999</v>
      </c>
      <c r="J47" s="14">
        <f t="shared" si="4"/>
        <v>6505</v>
      </c>
      <c r="K47" s="14">
        <f t="shared" si="5"/>
        <v>6281.8784999999998</v>
      </c>
      <c r="L47" s="14">
        <f t="shared" si="6"/>
        <v>6134.8825430999996</v>
      </c>
      <c r="M47" s="14">
        <f t="shared" si="7"/>
        <v>6015.2523335095493</v>
      </c>
    </row>
    <row r="48" spans="1:15" ht="14.5" x14ac:dyDescent="0.3">
      <c r="A48" s="47" t="s">
        <v>19</v>
      </c>
      <c r="B48" s="7">
        <f>B46-B44</f>
        <v>26728.749246547377</v>
      </c>
      <c r="G48" s="22"/>
      <c r="H48" s="14" t="s">
        <v>29</v>
      </c>
      <c r="I48" s="39">
        <f>SUM('Energy Schedule'!BU79:BU94)/4</f>
        <v>4.375</v>
      </c>
      <c r="J48" s="14">
        <f t="shared" si="4"/>
        <v>4375</v>
      </c>
      <c r="K48" s="14">
        <f t="shared" si="5"/>
        <v>4224.9375</v>
      </c>
      <c r="L48" s="14">
        <f t="shared" si="6"/>
        <v>4126.0739624999997</v>
      </c>
      <c r="M48" s="14">
        <f t="shared" si="7"/>
        <v>4045.6155202312498</v>
      </c>
    </row>
    <row r="49" spans="1:13" ht="14.5" x14ac:dyDescent="0.3">
      <c r="A49" s="47" t="s">
        <v>160</v>
      </c>
      <c r="B49" s="46">
        <f>B47-B45</f>
        <v>1.7947805655434301</v>
      </c>
      <c r="G49" s="22"/>
      <c r="H49" s="14" t="s">
        <v>32</v>
      </c>
      <c r="I49" s="37">
        <f>SUM('Energy Schedule'!BU95:BU102)/4</f>
        <v>0.52500000000000002</v>
      </c>
      <c r="J49" s="14">
        <f t="shared" si="4"/>
        <v>525</v>
      </c>
      <c r="K49" s="14">
        <f t="shared" si="5"/>
        <v>506.99250000000001</v>
      </c>
      <c r="L49" s="14">
        <f t="shared" si="6"/>
        <v>495.12887549999999</v>
      </c>
      <c r="M49" s="14">
        <f t="shared" si="7"/>
        <v>485.47386242774996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Schedule'!BV7:BV26)/4</f>
        <v>1.3499999999999996</v>
      </c>
      <c r="J51" s="14">
        <f t="shared" si="4"/>
        <v>1349.9999999999995</v>
      </c>
      <c r="K51" s="14">
        <f t="shared" si="5"/>
        <v>1303.6949999999995</v>
      </c>
      <c r="L51" s="14">
        <f t="shared" si="6"/>
        <v>1273.1885369999995</v>
      </c>
      <c r="M51" s="14">
        <f t="shared" si="7"/>
        <v>1248.3613605284995</v>
      </c>
    </row>
    <row r="52" spans="1:13" ht="14.5" x14ac:dyDescent="0.3">
      <c r="G52" s="22"/>
      <c r="H52" s="14" t="s">
        <v>31</v>
      </c>
      <c r="I52" s="38">
        <f>SUM('Energy Schedule'!BV27:BV30)/4</f>
        <v>0.15</v>
      </c>
      <c r="J52" s="14">
        <f t="shared" si="4"/>
        <v>150</v>
      </c>
      <c r="K52" s="14">
        <f t="shared" si="5"/>
        <v>144.85499999999999</v>
      </c>
      <c r="L52" s="14">
        <f t="shared" si="6"/>
        <v>141.46539299999998</v>
      </c>
      <c r="M52" s="14">
        <f t="shared" si="7"/>
        <v>138.70681783649997</v>
      </c>
    </row>
    <row r="53" spans="1:13" s="9" customFormat="1" ht="14.5" x14ac:dyDescent="0.3">
      <c r="G53" s="22"/>
      <c r="H53" s="14" t="s">
        <v>28</v>
      </c>
      <c r="I53" s="39">
        <f>SUM('Energy Schedule'!BV31:BV46)/4</f>
        <v>0.15</v>
      </c>
      <c r="J53" s="14">
        <f t="shared" si="4"/>
        <v>150</v>
      </c>
      <c r="K53" s="14">
        <f t="shared" si="5"/>
        <v>144.85499999999999</v>
      </c>
      <c r="L53" s="14">
        <f t="shared" si="6"/>
        <v>141.46539299999998</v>
      </c>
      <c r="M53" s="14">
        <f t="shared" si="7"/>
        <v>138.70681783649997</v>
      </c>
    </row>
    <row r="54" spans="1:13" s="9" customFormat="1" ht="14.5" x14ac:dyDescent="0.3">
      <c r="G54" s="22"/>
      <c r="H54" s="14" t="s">
        <v>31</v>
      </c>
      <c r="I54" s="38">
        <f>SUM('Energy Schedule'!BV47:BV78)/4</f>
        <v>0</v>
      </c>
      <c r="J54" s="14">
        <f>I54*1000</f>
        <v>0</v>
      </c>
      <c r="K54" s="14">
        <f>J54-(J54*$B$6)</f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Schedule'!BV79:BV94)/4</f>
        <v>0.9</v>
      </c>
      <c r="J55" s="14">
        <f t="shared" si="4"/>
        <v>900</v>
      </c>
      <c r="K55" s="14">
        <f t="shared" si="5"/>
        <v>869.13</v>
      </c>
      <c r="L55" s="14">
        <f t="shared" si="6"/>
        <v>848.79235800000004</v>
      </c>
      <c r="M55" s="14">
        <f t="shared" si="7"/>
        <v>832.24090701900002</v>
      </c>
    </row>
    <row r="56" spans="1:13" s="8" customFormat="1" ht="14.5" x14ac:dyDescent="0.3">
      <c r="G56" s="22"/>
      <c r="H56" s="14" t="s">
        <v>32</v>
      </c>
      <c r="I56" s="37">
        <f>SUM('Energy Schedule'!BV95:BV102)/4</f>
        <v>2.5000000000000001E-2</v>
      </c>
      <c r="J56" s="14">
        <f t="shared" si="4"/>
        <v>25</v>
      </c>
      <c r="K56" s="14">
        <f t="shared" si="5"/>
        <v>24.142499999999998</v>
      </c>
      <c r="L56" s="14">
        <f t="shared" si="6"/>
        <v>23.577565499999999</v>
      </c>
      <c r="M56" s="14">
        <f t="shared" si="7"/>
        <v>23.117802972749999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2C26-E115-4DAA-A7AE-98B0BF3D9D10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Schedule'!BW$103</f>
        <v>0</v>
      </c>
      <c r="D3" s="33">
        <f>'Energy Schedule'!BX$103</f>
        <v>12.975</v>
      </c>
      <c r="E3" s="33">
        <f>'Energy Schedule'!BY$103</f>
        <v>0</v>
      </c>
      <c r="G3" s="22"/>
      <c r="H3" s="22"/>
    </row>
    <row r="4" spans="1:11" ht="14.5" x14ac:dyDescent="0.3">
      <c r="A4" s="31" t="s">
        <v>10</v>
      </c>
      <c r="B4" s="32"/>
      <c r="C4" s="34">
        <f>'Energy Schedule'!BW$5</f>
        <v>0</v>
      </c>
      <c r="D4" s="34">
        <f>'Energy Schedule'!BX$5</f>
        <v>48944.948799999998</v>
      </c>
      <c r="E4" s="34">
        <f>'Energy Schedule'!BY$5</f>
        <v>0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12975</v>
      </c>
      <c r="E5" s="48">
        <f t="shared" si="0"/>
        <v>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12529.9575</v>
      </c>
      <c r="E6" s="49">
        <f>E5-(E5*$B$6)</f>
        <v>0</v>
      </c>
      <c r="G6" s="22"/>
      <c r="H6" s="62" t="s">
        <v>28</v>
      </c>
      <c r="I6" s="76">
        <f>D33</f>
        <v>346.76704459125</v>
      </c>
      <c r="J6" s="1">
        <f>'Consumption Details'!$B27</f>
        <v>2600</v>
      </c>
      <c r="K6" s="14">
        <f>J6-I6</f>
        <v>2253.2329554087501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12236.756494500001</v>
      </c>
      <c r="E7" s="49">
        <f>E6-(E6*$B$7)</f>
        <v>0</v>
      </c>
      <c r="G7" s="22"/>
      <c r="H7" s="62" t="s">
        <v>29</v>
      </c>
      <c r="I7" s="76">
        <f t="shared" ref="I7:I9" si="1">D34</f>
        <v>4623.5605945500001</v>
      </c>
      <c r="J7" s="1">
        <f>'Consumption Details'!$C27</f>
        <v>11350</v>
      </c>
      <c r="K7" s="14">
        <f t="shared" ref="K7:K9" si="2">J7-I7</f>
        <v>6726.4394054499999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11998.139742857251</v>
      </c>
      <c r="E8" s="49">
        <f>E7-(E7*$B$8)</f>
        <v>0</v>
      </c>
      <c r="G8" s="22"/>
      <c r="H8" s="62" t="s">
        <v>31</v>
      </c>
      <c r="I8" s="76">
        <f t="shared" si="1"/>
        <v>5085.9166540050001</v>
      </c>
      <c r="J8" s="1">
        <f>'Consumption Details'!$D28</f>
        <v>20600</v>
      </c>
      <c r="K8" s="14">
        <f t="shared" si="2"/>
        <v>15514.083345995001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11998.139742857251</v>
      </c>
      <c r="E9" s="49">
        <f>E8</f>
        <v>0</v>
      </c>
      <c r="G9" s="22"/>
      <c r="H9" s="62" t="s">
        <v>32</v>
      </c>
      <c r="I9" s="76">
        <f t="shared" si="1"/>
        <v>1941.8954497109994</v>
      </c>
      <c r="J9" s="1">
        <f>'Consumption Details'!$E27</f>
        <v>4350</v>
      </c>
      <c r="K9" s="14">
        <f t="shared" si="2"/>
        <v>2408.1045502890006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4.0793781243578175</v>
      </c>
      <c r="E10" s="49" t="e">
        <f>E4/E9</f>
        <v>#DIV/0!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306.20999999999998</v>
      </c>
      <c r="E11" s="49">
        <f>(E3*1000*$B$11)+(E3*1000*$B$11*18%)</f>
        <v>0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Schedule'!BW$6</f>
        <v>0</v>
      </c>
      <c r="D12" s="34">
        <f>'Energy Schedule'!BX$6</f>
        <v>7.22</v>
      </c>
      <c r="E12" s="34">
        <f>'Energy Schedule'!BY$6</f>
        <v>0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5937.3600000000006</v>
      </c>
      <c r="E13" s="49">
        <f>E3*$B$13</f>
        <v>0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12.975</v>
      </c>
      <c r="E14" s="49">
        <f>E3*$B$14</f>
        <v>0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3373.5</v>
      </c>
      <c r="E15" s="49">
        <f>E3*$B$15</f>
        <v>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18.2406875</v>
      </c>
      <c r="E17" s="49">
        <f>E3*$B$17/24</f>
        <v>0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259.5</v>
      </c>
      <c r="E18" s="49">
        <f>E3*$B$18*1000</f>
        <v>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23876.29808828593</v>
      </c>
      <c r="E19" s="49">
        <f>E9*$B$19</f>
        <v>0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12478.065332571541</v>
      </c>
      <c r="E21" s="49">
        <f>E8*$B$21</f>
        <v>0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151.17656076000137</v>
      </c>
      <c r="E23" s="49">
        <f>E9*$B$23*10.5%</f>
        <v>0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151.17656076000137</v>
      </c>
      <c r="E24" s="55">
        <f>E9*$B$24*10.5%</f>
        <v>0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46741.722229877472</v>
      </c>
      <c r="E25" s="59">
        <f>SUM(E11:E24)</f>
        <v>0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3.8957474434904644</v>
      </c>
      <c r="E26" s="58" t="e">
        <f>E25/E9</f>
        <v>#DIV/0!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95686.671029877471</v>
      </c>
      <c r="E27" s="14">
        <f>E4+E25</f>
        <v>0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7.9751255678482815</v>
      </c>
      <c r="E28" s="16" t="e">
        <f>E27/E9</f>
        <v>#DIV/0!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375</v>
      </c>
      <c r="D33" s="23">
        <f>M39+M46+M53</f>
        <v>346.76704459125</v>
      </c>
      <c r="E33" s="3">
        <f>D33*B33</f>
        <v>3868.6198412211329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5000</v>
      </c>
      <c r="D34" s="13">
        <f>M41+M48+M55</f>
        <v>4623.5605945500001</v>
      </c>
      <c r="E34" s="3">
        <f>D34*B34</f>
        <v>51581.597882948437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5500</v>
      </c>
      <c r="D35" s="13">
        <f>M38+M40+M45+M47+M52+M54</f>
        <v>5085.9166540050001</v>
      </c>
      <c r="E35" s="3">
        <f>D35*B35</f>
        <v>45391.80613699463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2099.9999999999995</v>
      </c>
      <c r="D36" s="13">
        <f>M37+M42+M44+M49+M51+M56</f>
        <v>1941.8954497109994</v>
      </c>
      <c r="E36" s="13">
        <f>D36*B36</f>
        <v>16464.846044237136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12975</v>
      </c>
      <c r="D37" s="12">
        <f>SUM(D33:D36)</f>
        <v>11998.139742857249</v>
      </c>
      <c r="E37" s="10">
        <f>SUM(E33:E36)</f>
        <v>117306.86990540134</v>
      </c>
      <c r="F37" s="23"/>
      <c r="G37" s="22"/>
      <c r="H37" s="14" t="s">
        <v>32</v>
      </c>
      <c r="I37" s="37">
        <f>SUM('Energy Schedule'!BW7:BW26)/4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Schedule'!BW27:BW30)/4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Schedule'!BW31:BW46)/4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Schedule'!BW47:BW78)/4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Schedule'!BW79:BW94)/4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12975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Schedule'!BW95:BW102)/4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11998.139742857249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95686.671029877471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Schedule'!BX7:BX26)/4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7.9751255678482833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Schedule'!BX27:BX30)/4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117306.86990540134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Schedule'!BX31:BX46)/4</f>
        <v>0.375</v>
      </c>
      <c r="J46" s="14">
        <f t="shared" si="4"/>
        <v>375</v>
      </c>
      <c r="K46" s="14">
        <f t="shared" si="5"/>
        <v>362.13749999999999</v>
      </c>
      <c r="L46" s="14">
        <f t="shared" si="6"/>
        <v>353.66348249999999</v>
      </c>
      <c r="M46" s="14">
        <f t="shared" si="7"/>
        <v>346.76704459125</v>
      </c>
    </row>
    <row r="47" spans="1:15" ht="14.5" x14ac:dyDescent="0.3">
      <c r="A47" s="47" t="s">
        <v>159</v>
      </c>
      <c r="B47" s="46">
        <f>B46/B43</f>
        <v>9.7770881502890177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Schedule'!BX47:BX78)/4</f>
        <v>5</v>
      </c>
      <c r="J47" s="14">
        <f t="shared" si="4"/>
        <v>5000</v>
      </c>
      <c r="K47" s="14">
        <f t="shared" si="5"/>
        <v>4828.5</v>
      </c>
      <c r="L47" s="14">
        <f t="shared" si="6"/>
        <v>4715.5131000000001</v>
      </c>
      <c r="M47" s="14">
        <f t="shared" si="7"/>
        <v>4623.5605945500001</v>
      </c>
    </row>
    <row r="48" spans="1:15" ht="14.5" x14ac:dyDescent="0.3">
      <c r="A48" s="47" t="s">
        <v>19</v>
      </c>
      <c r="B48" s="7">
        <f>B46-B44</f>
        <v>21620.198875523871</v>
      </c>
      <c r="G48" s="22"/>
      <c r="H48" s="14" t="s">
        <v>29</v>
      </c>
      <c r="I48" s="39">
        <f>SUM('Energy Schedule'!BX79:BX94)/4</f>
        <v>5</v>
      </c>
      <c r="J48" s="14">
        <f t="shared" si="4"/>
        <v>5000</v>
      </c>
      <c r="K48" s="14">
        <f t="shared" si="5"/>
        <v>4828.5</v>
      </c>
      <c r="L48" s="14">
        <f t="shared" si="6"/>
        <v>4715.5131000000001</v>
      </c>
      <c r="M48" s="14">
        <f t="shared" si="7"/>
        <v>4623.5605945500001</v>
      </c>
    </row>
    <row r="49" spans="1:13" ht="14.5" x14ac:dyDescent="0.3">
      <c r="A49" s="47" t="s">
        <v>160</v>
      </c>
      <c r="B49" s="46">
        <f>B47-B45</f>
        <v>1.8019625824407344</v>
      </c>
      <c r="G49" s="22"/>
      <c r="H49" s="14" t="s">
        <v>32</v>
      </c>
      <c r="I49" s="37">
        <f>SUM('Energy Schedule'!BX95:BX102)/4</f>
        <v>0.6</v>
      </c>
      <c r="J49" s="14">
        <f t="shared" si="4"/>
        <v>600</v>
      </c>
      <c r="K49" s="14">
        <f t="shared" si="5"/>
        <v>579.41999999999996</v>
      </c>
      <c r="L49" s="14">
        <f t="shared" si="6"/>
        <v>565.86157199999991</v>
      </c>
      <c r="M49" s="14">
        <f t="shared" si="7"/>
        <v>554.82727134599986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Schedule'!BY7:BY26)/4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Schedule'!BY27:BY30)/4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Schedule'!BY31:BY46)/4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Schedule'!BY47:BY78)/4</f>
        <v>0</v>
      </c>
      <c r="J54" s="14">
        <f>I54*1000</f>
        <v>0</v>
      </c>
      <c r="K54" s="14">
        <f>J54-(J54*$B$6)</f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Schedule'!BY79:BY94)/4</f>
        <v>0</v>
      </c>
      <c r="J55" s="14">
        <f t="shared" si="4"/>
        <v>0</v>
      </c>
      <c r="K55" s="14">
        <f t="shared" si="5"/>
        <v>0</v>
      </c>
      <c r="L55" s="14">
        <f t="shared" si="6"/>
        <v>0</v>
      </c>
      <c r="M55" s="14">
        <f t="shared" si="7"/>
        <v>0</v>
      </c>
    </row>
    <row r="56" spans="1:13" s="8" customFormat="1" ht="14.5" x14ac:dyDescent="0.3">
      <c r="G56" s="22"/>
      <c r="H56" s="14" t="s">
        <v>32</v>
      </c>
      <c r="I56" s="37">
        <f>SUM('Energy Schedule'!BY95:BY102)/4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1A88-3821-4783-976F-047C61B77A68}">
  <dimension ref="A2:O222"/>
  <sheetViews>
    <sheetView zoomScale="80" zoomScaleNormal="80" workbookViewId="0">
      <selection activeCell="B13" sqref="B13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Schedule'!BZ$103</f>
        <v>0</v>
      </c>
      <c r="D3" s="33">
        <f>'Energy Schedule'!CA$103</f>
        <v>6.375</v>
      </c>
      <c r="E3" s="33">
        <f>'Energy Schedule'!CB$103</f>
        <v>0</v>
      </c>
      <c r="G3" s="22"/>
      <c r="H3" s="22"/>
    </row>
    <row r="4" spans="1:11" ht="14.5" x14ac:dyDescent="0.3">
      <c r="A4" s="31" t="s">
        <v>10</v>
      </c>
      <c r="B4" s="32"/>
      <c r="C4" s="34">
        <f>'Energy Schedule'!BZ$5</f>
        <v>0</v>
      </c>
      <c r="D4" s="34">
        <f>'Energy Schedule'!CA$5</f>
        <v>23502.102200000001</v>
      </c>
      <c r="E4" s="34">
        <f>'Energy Schedule'!CB$5</f>
        <v>0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6375</v>
      </c>
      <c r="E5" s="48">
        <f t="shared" si="0"/>
        <v>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6156.3374999999996</v>
      </c>
      <c r="E6" s="49">
        <f>E5-(E5*$B$6)</f>
        <v>0</v>
      </c>
      <c r="G6" s="22"/>
      <c r="H6" s="62" t="s">
        <v>28</v>
      </c>
      <c r="I6" s="76">
        <f>D33</f>
        <v>231.17802972749999</v>
      </c>
      <c r="J6" s="1">
        <f>'Consumption Details'!$B28</f>
        <v>2200</v>
      </c>
      <c r="K6" s="14">
        <f>J6-I6</f>
        <v>1968.8219702725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6012.2792024999999</v>
      </c>
      <c r="E7" s="49">
        <f>E6-(E6*$B$7)</f>
        <v>0</v>
      </c>
      <c r="G7" s="22"/>
      <c r="H7" s="62" t="s">
        <v>29</v>
      </c>
      <c r="I7" s="76">
        <f t="shared" ref="I7:I9" si="1">D34</f>
        <v>3467.6704459124999</v>
      </c>
      <c r="J7" s="1">
        <f>'Consumption Details'!$C28</f>
        <v>10450</v>
      </c>
      <c r="K7" s="14">
        <f t="shared" ref="K7:K9" si="2">J7-I7</f>
        <v>6982.3295540875006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5895.0397580512499</v>
      </c>
      <c r="E8" s="49">
        <f>E7-(E7*$B$8)</f>
        <v>0</v>
      </c>
      <c r="G8" s="22"/>
      <c r="H8" s="62" t="s">
        <v>31</v>
      </c>
      <c r="I8" s="76">
        <f t="shared" si="1"/>
        <v>462.35605945499998</v>
      </c>
      <c r="J8" s="1">
        <f>'Consumption Details'!$D29</f>
        <v>20650</v>
      </c>
      <c r="K8" s="14">
        <f t="shared" si="2"/>
        <v>20187.643940545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5895.0397580512499</v>
      </c>
      <c r="E9" s="49">
        <f>E8</f>
        <v>0</v>
      </c>
      <c r="G9" s="22"/>
      <c r="H9" s="62" t="s">
        <v>32</v>
      </c>
      <c r="I9" s="76">
        <f t="shared" si="1"/>
        <v>1733.8352229562495</v>
      </c>
      <c r="J9" s="1">
        <f>'Consumption Details'!$E28</f>
        <v>3850</v>
      </c>
      <c r="K9" s="14">
        <f t="shared" si="2"/>
        <v>2116.1647770437503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3.9867588963927867</v>
      </c>
      <c r="E10" s="49" t="e">
        <f>E4/E9</f>
        <v>#DIV/0!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150.44999999999999</v>
      </c>
      <c r="E11" s="49">
        <f>(E3*1000*$B$11)+(E3*1000*$B$11*18%)</f>
        <v>0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Schedule'!BZ$6</f>
        <v>0</v>
      </c>
      <c r="D12" s="34">
        <f>'Energy Schedule'!CA$6</f>
        <v>7.65</v>
      </c>
      <c r="E12" s="34">
        <f>'Energy Schedule'!CB$6</f>
        <v>0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2917.2000000000003</v>
      </c>
      <c r="E13" s="49">
        <f>E3*$B$13</f>
        <v>0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6.375</v>
      </c>
      <c r="E14" s="49">
        <f>E3*$B$14</f>
        <v>0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1657.5</v>
      </c>
      <c r="E15" s="49">
        <f>E3*$B$15</f>
        <v>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8.9621875000000006</v>
      </c>
      <c r="E17" s="49">
        <f>E3*$B$17/24</f>
        <v>0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127.5</v>
      </c>
      <c r="E18" s="49">
        <f>E3*$B$18*1000</f>
        <v>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11731.129118521987</v>
      </c>
      <c r="E19" s="49">
        <f>E9*$B$19</f>
        <v>0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6130.8413483733002</v>
      </c>
      <c r="E21" s="49">
        <f>E8*$B$21</f>
        <v>0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74.277500951445745</v>
      </c>
      <c r="E23" s="49">
        <f>E9*$B$23*10.5%</f>
        <v>0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74.277500951445745</v>
      </c>
      <c r="E24" s="55">
        <f>E9*$B$24*10.5%</f>
        <v>0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23056.162656298176</v>
      </c>
      <c r="E25" s="59">
        <f>SUM(E11:E24)</f>
        <v>0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3.9111123253764037</v>
      </c>
      <c r="E26" s="58" t="e">
        <f>E25/E9</f>
        <v>#DIV/0!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46558.264856298178</v>
      </c>
      <c r="E27" s="14">
        <f>E4+E25</f>
        <v>0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7.89787122176919</v>
      </c>
      <c r="E28" s="16" t="e">
        <f>E27/E9</f>
        <v>#DIV/0!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250</v>
      </c>
      <c r="D33" s="23">
        <f>M39+M46+M53</f>
        <v>231.17802972749999</v>
      </c>
      <c r="E33" s="3">
        <f>D33*B33</f>
        <v>2579.0798941474218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3750</v>
      </c>
      <c r="D34" s="13">
        <f>M41+M48+M55</f>
        <v>3467.6704459124999</v>
      </c>
      <c r="E34" s="3">
        <f>D34*B34</f>
        <v>38686.198412211328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500</v>
      </c>
      <c r="D35" s="13">
        <f>M38+M40+M45+M47+M52+M54</f>
        <v>462.35605945499998</v>
      </c>
      <c r="E35" s="3">
        <f>D35*B35</f>
        <v>4126.527830635875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1874.9999999999995</v>
      </c>
      <c r="D36" s="13">
        <f>M37+M42+M44+M49+M51+M56</f>
        <v>1733.8352229562495</v>
      </c>
      <c r="E36" s="13">
        <f>D36*B36</f>
        <v>14700.755396640299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6375</v>
      </c>
      <c r="D37" s="12">
        <f>SUM(D33:D36)</f>
        <v>5895.0397580512499</v>
      </c>
      <c r="E37" s="10">
        <f>SUM(E33:E36)</f>
        <v>60092.561533634922</v>
      </c>
      <c r="F37" s="23"/>
      <c r="G37" s="22"/>
      <c r="H37" s="14" t="s">
        <v>32</v>
      </c>
      <c r="I37" s="37">
        <f>SUM('Energy Schedule'!BZ7:BZ26)/4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Schedule'!BZ27:BZ30)/4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Schedule'!BZ31:BZ46)/4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Schedule'!BZ47:BZ78)/4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Schedule'!BZ79:BZ94)/4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6375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Schedule'!BZ95:BZ102)/4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5895.0397580512499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46558.264856298178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Schedule'!CA7:CA26)/4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7.89787122176919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Schedule'!CA27:CA30)/4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60092.561533634922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Schedule'!CA31:CA46)/4</f>
        <v>0.25</v>
      </c>
      <c r="J46" s="14">
        <f t="shared" si="4"/>
        <v>250</v>
      </c>
      <c r="K46" s="14">
        <f t="shared" si="5"/>
        <v>241.42500000000001</v>
      </c>
      <c r="L46" s="14">
        <f t="shared" si="6"/>
        <v>235.775655</v>
      </c>
      <c r="M46" s="14">
        <f t="shared" si="7"/>
        <v>231.17802972749999</v>
      </c>
    </row>
    <row r="47" spans="1:15" ht="14.5" x14ac:dyDescent="0.3">
      <c r="A47" s="47" t="s">
        <v>159</v>
      </c>
      <c r="B47" s="46">
        <f>B46/B43</f>
        <v>10.19375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Schedule'!CA47:CA78)/4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13534.296677336744</v>
      </c>
      <c r="G48" s="22"/>
      <c r="H48" s="14" t="s">
        <v>29</v>
      </c>
      <c r="I48" s="39">
        <f>SUM('Energy Schedule'!CA79:CA94)/4</f>
        <v>3.75</v>
      </c>
      <c r="J48" s="14">
        <f t="shared" si="4"/>
        <v>3750</v>
      </c>
      <c r="K48" s="14">
        <f t="shared" si="5"/>
        <v>3621.375</v>
      </c>
      <c r="L48" s="14">
        <f t="shared" si="6"/>
        <v>3536.6348250000001</v>
      </c>
      <c r="M48" s="14">
        <f t="shared" si="7"/>
        <v>3467.6704459124999</v>
      </c>
    </row>
    <row r="49" spans="1:13" ht="14.5" x14ac:dyDescent="0.3">
      <c r="A49" s="47" t="s">
        <v>160</v>
      </c>
      <c r="B49" s="46">
        <f>B47-B45</f>
        <v>2.2958787782308097</v>
      </c>
      <c r="G49" s="22"/>
      <c r="H49" s="14" t="s">
        <v>32</v>
      </c>
      <c r="I49" s="37">
        <f>SUM('Energy Schedule'!CA95:CA102)/4</f>
        <v>0.375</v>
      </c>
      <c r="J49" s="14">
        <f t="shared" si="4"/>
        <v>375</v>
      </c>
      <c r="K49" s="14">
        <f t="shared" si="5"/>
        <v>362.13749999999999</v>
      </c>
      <c r="L49" s="14">
        <f t="shared" si="6"/>
        <v>353.66348249999999</v>
      </c>
      <c r="M49" s="14">
        <f t="shared" si="7"/>
        <v>346.76704459125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Schedule'!CB7:CB26)/4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Schedule'!CB27:CB30)/4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Schedule'!CB31:CB46)/4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Schedule'!CB47:CB78)/4</f>
        <v>0</v>
      </c>
      <c r="J54" s="14">
        <f>I54*1000</f>
        <v>0</v>
      </c>
      <c r="K54" s="14">
        <f>J54-(J54*$B$6)</f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Schedule'!CB79:CB94)/4</f>
        <v>0</v>
      </c>
      <c r="J55" s="14">
        <f t="shared" si="4"/>
        <v>0</v>
      </c>
      <c r="K55" s="14">
        <f t="shared" si="5"/>
        <v>0</v>
      </c>
      <c r="L55" s="14">
        <f t="shared" si="6"/>
        <v>0</v>
      </c>
      <c r="M55" s="14">
        <f t="shared" si="7"/>
        <v>0</v>
      </c>
    </row>
    <row r="56" spans="1:13" s="8" customFormat="1" ht="14.5" x14ac:dyDescent="0.3">
      <c r="G56" s="22"/>
      <c r="H56" s="14" t="s">
        <v>32</v>
      </c>
      <c r="I56" s="37">
        <f>SUM('Energy Schedule'!CB95:CB102)/4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28F3-4DDE-40E5-8218-7876A34DDD36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Schedule'!CC$103</f>
        <v>0</v>
      </c>
      <c r="D3" s="33">
        <f>'Energy Schedule'!CD$103</f>
        <v>6.5750000000000002</v>
      </c>
      <c r="E3" s="33">
        <f>'Energy Schedule'!CE$103</f>
        <v>0</v>
      </c>
      <c r="G3" s="22"/>
      <c r="H3" s="22"/>
    </row>
    <row r="4" spans="1:11" ht="14.5" x14ac:dyDescent="0.3">
      <c r="A4" s="31" t="s">
        <v>10</v>
      </c>
      <c r="B4" s="32"/>
      <c r="C4" s="34">
        <f>'Energy Schedule'!CC$5</f>
        <v>0</v>
      </c>
      <c r="D4" s="34">
        <f>'Energy Schedule'!CD$5</f>
        <v>26051.971799999999</v>
      </c>
      <c r="E4" s="34">
        <f>'Energy Schedule'!CE$5</f>
        <v>0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6575</v>
      </c>
      <c r="E5" s="48">
        <f t="shared" si="0"/>
        <v>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6349.4775</v>
      </c>
      <c r="E6" s="49">
        <f>E5-(E5*$B$6)</f>
        <v>0</v>
      </c>
      <c r="G6" s="22"/>
      <c r="H6" s="62" t="s">
        <v>28</v>
      </c>
      <c r="I6" s="76">
        <f>D33</f>
        <v>346.76704459125</v>
      </c>
      <c r="J6" s="1">
        <f>'Consumption Details'!$B29</f>
        <v>1900</v>
      </c>
      <c r="K6" s="14">
        <f>J6-I6</f>
        <v>1553.2329554087501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6200.8997264999998</v>
      </c>
      <c r="E7" s="49">
        <f>E6-(E6*$B$7)</f>
        <v>0</v>
      </c>
      <c r="G7" s="22"/>
      <c r="H7" s="62" t="s">
        <v>29</v>
      </c>
      <c r="I7" s="76">
        <f t="shared" ref="I7:I9" si="1">D34</f>
        <v>3467.6704459124999</v>
      </c>
      <c r="J7" s="1">
        <f>'Consumption Details'!$C29</f>
        <v>11000</v>
      </c>
      <c r="K7" s="14">
        <f t="shared" ref="K7:K9" si="2">J7-I7</f>
        <v>7532.3295540875006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6079.9821818332503</v>
      </c>
      <c r="E8" s="49">
        <f>E7-(E7*$B$8)</f>
        <v>0</v>
      </c>
      <c r="G8" s="22"/>
      <c r="H8" s="62" t="s">
        <v>31</v>
      </c>
      <c r="I8" s="76">
        <f t="shared" si="1"/>
        <v>462.35605945499998</v>
      </c>
      <c r="J8" s="1">
        <f>'Consumption Details'!$D30</f>
        <v>20600</v>
      </c>
      <c r="K8" s="14">
        <f t="shared" si="2"/>
        <v>20137.643940545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6079.9821818332503</v>
      </c>
      <c r="E9" s="49">
        <f>E8</f>
        <v>0</v>
      </c>
      <c r="G9" s="22"/>
      <c r="H9" s="62" t="s">
        <v>32</v>
      </c>
      <c r="I9" s="76">
        <f t="shared" si="1"/>
        <v>1803.1886318744996</v>
      </c>
      <c r="J9" s="1">
        <f>'Consumption Details'!$E29</f>
        <v>3850</v>
      </c>
      <c r="K9" s="14">
        <f t="shared" si="2"/>
        <v>2046.8113681255004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4.2848763402370285</v>
      </c>
      <c r="E10" s="49" t="e">
        <f>E4/E9</f>
        <v>#DIV/0!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155.16999999999999</v>
      </c>
      <c r="E11" s="49">
        <f>(E3*1000*$B$11)+(E3*1000*$B$11*18%)</f>
        <v>0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Schedule'!CC$6</f>
        <v>0</v>
      </c>
      <c r="D12" s="34">
        <f>'Energy Schedule'!CD$6</f>
        <v>7.41</v>
      </c>
      <c r="E12" s="34">
        <f>'Energy Schedule'!CE$6</f>
        <v>0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3008.7200000000003</v>
      </c>
      <c r="E13" s="49">
        <f>E3*$B$13</f>
        <v>0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6.5750000000000002</v>
      </c>
      <c r="E14" s="49">
        <f>E3*$B$14</f>
        <v>0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1709.5</v>
      </c>
      <c r="E15" s="49">
        <f>E3*$B$15</f>
        <v>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9.2433541666666681</v>
      </c>
      <c r="E17" s="49">
        <f>E3*$B$17/24</f>
        <v>0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131.5</v>
      </c>
      <c r="E18" s="49">
        <f>E3*$B$18*1000</f>
        <v>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12099.164541848168</v>
      </c>
      <c r="E19" s="49">
        <f>E9*$B$19</f>
        <v>0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6323.1814691065802</v>
      </c>
      <c r="E21" s="49">
        <f>E8*$B$21</f>
        <v>0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76.607775491098948</v>
      </c>
      <c r="E23" s="49">
        <f>E9*$B$23*10.5%</f>
        <v>0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76.607775491098948</v>
      </c>
      <c r="E24" s="55">
        <f>E9*$B$24*10.5%</f>
        <v>0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23773.679916103611</v>
      </c>
      <c r="E25" s="59">
        <f>SUM(E11:E24)</f>
        <v>0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3.9101561822234348</v>
      </c>
      <c r="E26" s="58" t="e">
        <f>E25/E9</f>
        <v>#DIV/0!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49825.65171610361</v>
      </c>
      <c r="E27" s="14">
        <f>E4+E25</f>
        <v>0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8.1950325224604637</v>
      </c>
      <c r="E28" s="16" t="e">
        <f>E27/E9</f>
        <v>#DIV/0!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375</v>
      </c>
      <c r="D33" s="23">
        <f>M39+M46+M53</f>
        <v>346.76704459125</v>
      </c>
      <c r="E33" s="3">
        <f>D33*B33</f>
        <v>3868.6198412211329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3750</v>
      </c>
      <c r="D34" s="13">
        <f>M41+M48+M55</f>
        <v>3467.6704459124999</v>
      </c>
      <c r="E34" s="3">
        <f>D34*B34</f>
        <v>38686.198412211328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500</v>
      </c>
      <c r="D35" s="13">
        <f>M38+M40+M45+M47+M52+M54</f>
        <v>462.35605945499998</v>
      </c>
      <c r="E35" s="3">
        <f>D35*B35</f>
        <v>4126.527830635875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1949.9999999999995</v>
      </c>
      <c r="D36" s="13">
        <f>M37+M42+M44+M49+M51+M56</f>
        <v>1803.1886318744996</v>
      </c>
      <c r="E36" s="13">
        <f>D36*B36</f>
        <v>15288.785612505913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6575</v>
      </c>
      <c r="D37" s="12">
        <f>SUM(D33:D36)</f>
        <v>6079.9821818332493</v>
      </c>
      <c r="E37" s="10">
        <f>SUM(E33:E36)</f>
        <v>61970.131696574244</v>
      </c>
      <c r="F37" s="23"/>
      <c r="G37" s="22"/>
      <c r="H37" s="14" t="s">
        <v>32</v>
      </c>
      <c r="I37" s="37">
        <f>SUM('Energy Schedule'!CC7:CC26)/4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Schedule'!CC27:CC30)/4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Schedule'!CC31:CC46)/4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Schedule'!CC47:CC78)/4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Schedule'!CC79:CC94)/4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6575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Schedule'!CC95:CC102)/4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6079.9821818332493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49825.65171610361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Schedule'!CD7:CD26)/4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8.1950325224604637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Schedule'!CD27:CD30)/4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61970.131696574244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Schedule'!CD31:CD46)/4</f>
        <v>0.375</v>
      </c>
      <c r="J46" s="14">
        <f t="shared" si="4"/>
        <v>375</v>
      </c>
      <c r="K46" s="14">
        <f t="shared" si="5"/>
        <v>362.13749999999999</v>
      </c>
      <c r="L46" s="14">
        <f t="shared" si="6"/>
        <v>353.66348249999999</v>
      </c>
      <c r="M46" s="14">
        <f t="shared" si="7"/>
        <v>346.76704459125</v>
      </c>
    </row>
    <row r="47" spans="1:15" ht="14.5" x14ac:dyDescent="0.3">
      <c r="A47" s="47" t="s">
        <v>159</v>
      </c>
      <c r="B47" s="46">
        <f>B46/B43</f>
        <v>10.192485741444866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Schedule'!CD47:CD78)/4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12144.479980470634</v>
      </c>
      <c r="G48" s="22"/>
      <c r="H48" s="14" t="s">
        <v>29</v>
      </c>
      <c r="I48" s="39">
        <f>SUM('Energy Schedule'!CD79:CD94)/4</f>
        <v>3.75</v>
      </c>
      <c r="J48" s="14">
        <f t="shared" si="4"/>
        <v>3750</v>
      </c>
      <c r="K48" s="14">
        <f t="shared" si="5"/>
        <v>3621.375</v>
      </c>
      <c r="L48" s="14">
        <f t="shared" si="6"/>
        <v>3536.6348250000001</v>
      </c>
      <c r="M48" s="14">
        <f t="shared" si="7"/>
        <v>3467.6704459124999</v>
      </c>
    </row>
    <row r="49" spans="1:13" ht="14.5" x14ac:dyDescent="0.3">
      <c r="A49" s="47" t="s">
        <v>160</v>
      </c>
      <c r="B49" s="46">
        <f>B47-B45</f>
        <v>1.9974532189844023</v>
      </c>
      <c r="G49" s="22"/>
      <c r="H49" s="14" t="s">
        <v>32</v>
      </c>
      <c r="I49" s="37">
        <f>SUM('Energy Schedule'!CD95:CD102)/4</f>
        <v>0.45</v>
      </c>
      <c r="J49" s="14">
        <f t="shared" si="4"/>
        <v>450</v>
      </c>
      <c r="K49" s="14">
        <f t="shared" si="5"/>
        <v>434.565</v>
      </c>
      <c r="L49" s="14">
        <f t="shared" si="6"/>
        <v>424.39617900000002</v>
      </c>
      <c r="M49" s="14">
        <f t="shared" si="7"/>
        <v>416.12045350950001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Schedule'!CE7:CE26)/4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Schedule'!CE27:CE30)/4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Schedule'!CE31:CE46)/4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Schedule'!CE47:CE78)/4</f>
        <v>0</v>
      </c>
      <c r="J54" s="14">
        <f>I54*1000</f>
        <v>0</v>
      </c>
      <c r="K54" s="14">
        <f>J54-(J54*$B$6)</f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Schedule'!CE79:CE94)/4</f>
        <v>0</v>
      </c>
      <c r="J55" s="14">
        <f t="shared" si="4"/>
        <v>0</v>
      </c>
      <c r="K55" s="14">
        <f t="shared" si="5"/>
        <v>0</v>
      </c>
      <c r="L55" s="14">
        <f t="shared" si="6"/>
        <v>0</v>
      </c>
      <c r="M55" s="14">
        <f t="shared" si="7"/>
        <v>0</v>
      </c>
    </row>
    <row r="56" spans="1:13" s="8" customFormat="1" ht="14.5" x14ac:dyDescent="0.3">
      <c r="G56" s="22"/>
      <c r="H56" s="14" t="s">
        <v>32</v>
      </c>
      <c r="I56" s="37">
        <f>SUM('Energy Schedule'!CE95:CE102)/4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12D6-BE0F-4584-88CC-8EF97EF7004B}">
  <dimension ref="A2:O222"/>
  <sheetViews>
    <sheetView zoomScale="80" zoomScaleNormal="80" workbookViewId="0">
      <selection activeCell="J9" sqref="J9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Schedule'!CF$103</f>
        <v>0</v>
      </c>
      <c r="D3" s="33">
        <f>'Energy Schedule'!CG$103</f>
        <v>7.95</v>
      </c>
      <c r="E3" s="33">
        <f>'Energy Schedule'!CH$103</f>
        <v>0</v>
      </c>
      <c r="G3" s="22"/>
      <c r="H3" s="22"/>
    </row>
    <row r="4" spans="1:11" ht="14.5" x14ac:dyDescent="0.3">
      <c r="A4" s="31" t="s">
        <v>10</v>
      </c>
      <c r="B4" s="32"/>
      <c r="C4" s="34">
        <f>'Energy Schedule'!CF$5</f>
        <v>0</v>
      </c>
      <c r="D4" s="34">
        <f>'Energy Schedule'!CG$5</f>
        <v>31764.6682</v>
      </c>
      <c r="E4" s="34">
        <f>'Energy Schedule'!CH$5</f>
        <v>0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7950</v>
      </c>
      <c r="E5" s="48">
        <f t="shared" si="0"/>
        <v>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7677.3149999999996</v>
      </c>
      <c r="E6" s="49">
        <f>E5-(E5*$B$6)</f>
        <v>0</v>
      </c>
      <c r="G6" s="22"/>
      <c r="H6" s="62" t="s">
        <v>28</v>
      </c>
      <c r="I6" s="76">
        <f>D33</f>
        <v>462.35605945499998</v>
      </c>
      <c r="J6" s="1">
        <f>'Consumption Details'!$B30</f>
        <v>1900</v>
      </c>
      <c r="K6" s="14">
        <f>J6-I6</f>
        <v>1437.6439405450001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7497.6658289999996</v>
      </c>
      <c r="E7" s="49">
        <f>E6-(E6*$B$7)</f>
        <v>0</v>
      </c>
      <c r="G7" s="22"/>
      <c r="H7" s="62" t="s">
        <v>29</v>
      </c>
      <c r="I7" s="76">
        <f t="shared" ref="I7:I9" si="1">D34</f>
        <v>4623.5605945500001</v>
      </c>
      <c r="J7" s="1">
        <f>'Consumption Details'!$C30</f>
        <v>10450</v>
      </c>
      <c r="K7" s="14">
        <f t="shared" ref="K7:K9" si="2">J7-I7</f>
        <v>5826.4394054499999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7351.4613453344991</v>
      </c>
      <c r="E8" s="49">
        <f>E7-(E7*$B$8)</f>
        <v>0</v>
      </c>
      <c r="G8" s="22"/>
      <c r="H8" s="62" t="s">
        <v>31</v>
      </c>
      <c r="I8" s="76">
        <f t="shared" si="1"/>
        <v>462.35605945499998</v>
      </c>
      <c r="J8" s="1">
        <f>'Consumption Details'!$D30</f>
        <v>20600</v>
      </c>
      <c r="K8" s="14">
        <f t="shared" si="2"/>
        <v>20137.643940545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7351.4613453344991</v>
      </c>
      <c r="E9" s="49">
        <f>E8</f>
        <v>0</v>
      </c>
      <c r="G9" s="22"/>
      <c r="H9" s="62" t="s">
        <v>32</v>
      </c>
      <c r="I9" s="76">
        <f t="shared" si="1"/>
        <v>1803.1886318744996</v>
      </c>
      <c r="J9" s="1">
        <f>'Consumption Details'!$E30</f>
        <v>4050</v>
      </c>
      <c r="K9" s="14">
        <f t="shared" si="2"/>
        <v>2246.8113681255004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4.3208644795716697</v>
      </c>
      <c r="E10" s="49" t="e">
        <f>E4/E9</f>
        <v>#DIV/0!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187.62</v>
      </c>
      <c r="E11" s="49">
        <f>(E3*1000*$B$11)+(E3*1000*$B$11*18%)</f>
        <v>0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Schedule'!CF$6</f>
        <v>0</v>
      </c>
      <c r="D12" s="34">
        <f>'Energy Schedule'!CG$6</f>
        <v>7.36</v>
      </c>
      <c r="E12" s="34">
        <f>'Energy Schedule'!CH$6</f>
        <v>0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3637.92</v>
      </c>
      <c r="E13" s="49">
        <f>E3*$B$13</f>
        <v>0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7.95</v>
      </c>
      <c r="E14" s="49">
        <f>E3*$B$14</f>
        <v>0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2067</v>
      </c>
      <c r="E15" s="49">
        <f>E3*$B$15</f>
        <v>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11.176375</v>
      </c>
      <c r="E17" s="49">
        <f>E3*$B$17/24</f>
        <v>0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159</v>
      </c>
      <c r="E18" s="49">
        <f>E3*$B$18*1000</f>
        <v>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14629.408077215654</v>
      </c>
      <c r="E19" s="49">
        <f>E9*$B$19</f>
        <v>0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7645.519799147879</v>
      </c>
      <c r="E21" s="49">
        <f>E8*$B$21</f>
        <v>0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92.628412951214685</v>
      </c>
      <c r="E23" s="49">
        <f>E9*$B$23*10.5%</f>
        <v>0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92.628412951214685</v>
      </c>
      <c r="E24" s="55">
        <f>E9*$B$24*10.5%</f>
        <v>0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28708.211077265958</v>
      </c>
      <c r="E25" s="59">
        <f>SUM(E11:E24)</f>
        <v>0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3.9051026358841181</v>
      </c>
      <c r="E26" s="58" t="e">
        <f>E25/E9</f>
        <v>#DIV/0!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60472.879277265958</v>
      </c>
      <c r="E27" s="14">
        <f>E4+E25</f>
        <v>0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8.2259671154557878</v>
      </c>
      <c r="E28" s="16" t="e">
        <f>E27/E9</f>
        <v>#DIV/0!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500</v>
      </c>
      <c r="D33" s="23">
        <f>M39+M46+M53</f>
        <v>462.35605945499998</v>
      </c>
      <c r="E33" s="3">
        <f>D33*B33</f>
        <v>5158.1597882948436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5000</v>
      </c>
      <c r="D34" s="13">
        <f>M41+M48+M55</f>
        <v>4623.5605945500001</v>
      </c>
      <c r="E34" s="3">
        <f>D34*B34</f>
        <v>51581.597882948437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500</v>
      </c>
      <c r="D35" s="13">
        <f>M38+M40+M45+M47+M52+M54</f>
        <v>462.35605945499998</v>
      </c>
      <c r="E35" s="3">
        <f>D35*B35</f>
        <v>4126.527830635875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1949.9999999999995</v>
      </c>
      <c r="D36" s="13">
        <f>M37+M42+M44+M49+M51+M56</f>
        <v>1803.1886318744996</v>
      </c>
      <c r="E36" s="13">
        <f>D36*B36</f>
        <v>15288.785612505913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7950</v>
      </c>
      <c r="D37" s="12">
        <f>SUM(D33:D36)</f>
        <v>7351.4613453344991</v>
      </c>
      <c r="E37" s="10">
        <f>SUM(E33:E36)</f>
        <v>76155.071114385064</v>
      </c>
      <c r="F37" s="23"/>
      <c r="G37" s="22"/>
      <c r="H37" s="14" t="s">
        <v>32</v>
      </c>
      <c r="I37" s="37">
        <f>SUM('Energy Schedule'!CF7:CF26)/4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Schedule'!CF27:CF30)/4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Schedule'!CF31:CF46)/4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Schedule'!CF47:CF78)/4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Schedule'!CF79:CF94)/4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7950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Schedule'!CF95:CF102)/4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7351.4613453344991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60472.879277265958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Schedule'!CG7:CG26)/4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8.2259671154557878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Schedule'!CG27:CG30)/4</f>
        <v>0.5</v>
      </c>
      <c r="J45" s="14">
        <f t="shared" si="4"/>
        <v>500</v>
      </c>
      <c r="K45" s="14">
        <f t="shared" si="5"/>
        <v>482.85</v>
      </c>
      <c r="L45" s="14">
        <f t="shared" si="6"/>
        <v>471.55131</v>
      </c>
      <c r="M45" s="14">
        <f t="shared" si="7"/>
        <v>462.35605945499998</v>
      </c>
    </row>
    <row r="46" spans="1:15" ht="14.5" x14ac:dyDescent="0.3">
      <c r="A46" s="47" t="s">
        <v>18</v>
      </c>
      <c r="B46" s="7">
        <f>E37</f>
        <v>76155.071114385064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Schedule'!CG31:CG46)/4</f>
        <v>0.5</v>
      </c>
      <c r="J46" s="14">
        <f t="shared" si="4"/>
        <v>500</v>
      </c>
      <c r="K46" s="14">
        <f t="shared" si="5"/>
        <v>482.85</v>
      </c>
      <c r="L46" s="14">
        <f t="shared" si="6"/>
        <v>471.55131</v>
      </c>
      <c r="M46" s="14">
        <f t="shared" si="7"/>
        <v>462.35605945499998</v>
      </c>
    </row>
    <row r="47" spans="1:15" ht="14.5" x14ac:dyDescent="0.3">
      <c r="A47" s="47" t="s">
        <v>159</v>
      </c>
      <c r="B47" s="46">
        <f>B46/B43</f>
        <v>10.359174528301887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Schedule'!CG47:CG78)/4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15682.191837119106</v>
      </c>
      <c r="G48" s="22"/>
      <c r="H48" s="14" t="s">
        <v>29</v>
      </c>
      <c r="I48" s="39">
        <f>SUM('Energy Schedule'!CG79:CG94)/4</f>
        <v>5</v>
      </c>
      <c r="J48" s="14">
        <f t="shared" si="4"/>
        <v>5000</v>
      </c>
      <c r="K48" s="14">
        <f t="shared" si="5"/>
        <v>4828.5</v>
      </c>
      <c r="L48" s="14">
        <f t="shared" si="6"/>
        <v>4715.5131000000001</v>
      </c>
      <c r="M48" s="14">
        <f t="shared" si="7"/>
        <v>4623.5605945500001</v>
      </c>
    </row>
    <row r="49" spans="1:13" ht="14.5" x14ac:dyDescent="0.3">
      <c r="A49" s="47" t="s">
        <v>160</v>
      </c>
      <c r="B49" s="46">
        <f>B47-B45</f>
        <v>2.1332074128460992</v>
      </c>
      <c r="G49" s="22"/>
      <c r="H49" s="14" t="s">
        <v>32</v>
      </c>
      <c r="I49" s="37">
        <f>SUM('Energy Schedule'!CG95:CG102)/4</f>
        <v>0.45</v>
      </c>
      <c r="J49" s="14">
        <f t="shared" si="4"/>
        <v>450</v>
      </c>
      <c r="K49" s="14">
        <f t="shared" si="5"/>
        <v>434.565</v>
      </c>
      <c r="L49" s="14">
        <f t="shared" si="6"/>
        <v>424.39617900000002</v>
      </c>
      <c r="M49" s="14">
        <f t="shared" si="7"/>
        <v>416.12045350950001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Schedule'!CH7:CH26)/4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Schedule'!CH27:CH30)/4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Schedule'!CH31:CH46)/4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Schedule'!CH47:CH78)/4</f>
        <v>0</v>
      </c>
      <c r="J54" s="14">
        <f>I54*1000</f>
        <v>0</v>
      </c>
      <c r="K54" s="14">
        <f>J54-(J54*$B$6)</f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Schedule'!CH79:CH94)/4</f>
        <v>0</v>
      </c>
      <c r="J55" s="14">
        <f t="shared" si="4"/>
        <v>0</v>
      </c>
      <c r="K55" s="14">
        <f t="shared" si="5"/>
        <v>0</v>
      </c>
      <c r="L55" s="14">
        <f t="shared" si="6"/>
        <v>0</v>
      </c>
      <c r="M55" s="14">
        <f t="shared" si="7"/>
        <v>0</v>
      </c>
    </row>
    <row r="56" spans="1:13" s="8" customFormat="1" ht="14.5" x14ac:dyDescent="0.3">
      <c r="G56" s="22"/>
      <c r="H56" s="14" t="s">
        <v>32</v>
      </c>
      <c r="I56" s="37">
        <f>SUM('Energy Schedule'!CH95:CH102)/4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928E-83FF-45CF-80BE-51EA8B48F996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Schedule'!CI$103</f>
        <v>0</v>
      </c>
      <c r="D3" s="33">
        <f>'Energy Schedule'!CJ$103</f>
        <v>5.4249999999999998</v>
      </c>
      <c r="E3" s="33">
        <f>'Energy Schedule'!CK$103</f>
        <v>0</v>
      </c>
      <c r="G3" s="22"/>
      <c r="H3" s="22"/>
    </row>
    <row r="4" spans="1:11" ht="14.5" x14ac:dyDescent="0.3">
      <c r="A4" s="31" t="s">
        <v>10</v>
      </c>
      <c r="B4" s="32"/>
      <c r="C4" s="34">
        <f>'Energy Schedule'!CI$5</f>
        <v>0</v>
      </c>
      <c r="D4" s="34">
        <f>'Energy Schedule'!CJ$5</f>
        <v>21325.1338</v>
      </c>
      <c r="E4" s="34">
        <f>'Energy Schedule'!CK$5</f>
        <v>0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5425</v>
      </c>
      <c r="E5" s="48">
        <f t="shared" si="0"/>
        <v>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5238.9224999999997</v>
      </c>
      <c r="E6" s="49">
        <f>E5-(E5*$B$6)</f>
        <v>0</v>
      </c>
      <c r="G6" s="22"/>
      <c r="H6" s="62" t="s">
        <v>28</v>
      </c>
      <c r="I6" s="76">
        <f>D33</f>
        <v>115.58901486374999</v>
      </c>
      <c r="J6" s="1">
        <f>'Consumption Details'!$B31</f>
        <v>0</v>
      </c>
      <c r="K6" s="14">
        <f>J6-I6</f>
        <v>-115.58901486374999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5116.3317134999998</v>
      </c>
      <c r="E7" s="49">
        <f>E6-(E6*$B$7)</f>
        <v>0</v>
      </c>
      <c r="G7" s="22"/>
      <c r="H7" s="62" t="s">
        <v>29</v>
      </c>
      <c r="I7" s="76">
        <f t="shared" ref="I7:I9" si="1">D34</f>
        <v>2889.72537159375</v>
      </c>
      <c r="J7" s="1">
        <f>'Consumption Details'!$C31</f>
        <v>0</v>
      </c>
      <c r="K7" s="14">
        <f t="shared" ref="K7:K9" si="2">J7-I7</f>
        <v>-2889.72537159375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5016.5632450867497</v>
      </c>
      <c r="E8" s="49">
        <f>E7-(E7*$B$8)</f>
        <v>0</v>
      </c>
      <c r="G8" s="22"/>
      <c r="H8" s="62" t="s">
        <v>31</v>
      </c>
      <c r="I8" s="76">
        <f t="shared" si="1"/>
        <v>346.76704459125</v>
      </c>
      <c r="J8" s="1">
        <f>'Consumption Details'!$D31</f>
        <v>0</v>
      </c>
      <c r="K8" s="14">
        <f t="shared" si="2"/>
        <v>-346.76704459125</v>
      </c>
    </row>
    <row r="9" spans="1:11" ht="14.5" x14ac:dyDescent="0.3">
      <c r="A9" s="40" t="s">
        <v>50</v>
      </c>
      <c r="B9" s="11">
        <f>'TNEB Charges'!B3</f>
        <v>0</v>
      </c>
      <c r="C9" s="49">
        <f>C8</f>
        <v>0</v>
      </c>
      <c r="D9" s="49">
        <f>D8</f>
        <v>5016.5632450867497</v>
      </c>
      <c r="E9" s="49">
        <f>E8</f>
        <v>0</v>
      </c>
      <c r="G9" s="22"/>
      <c r="H9" s="62" t="s">
        <v>32</v>
      </c>
      <c r="I9" s="76">
        <f t="shared" si="1"/>
        <v>1664.4818140379994</v>
      </c>
      <c r="J9" s="1">
        <f>'Consumption Details'!$E31</f>
        <v>0</v>
      </c>
      <c r="K9" s="14">
        <f t="shared" si="2"/>
        <v>-1664.4818140379994</v>
      </c>
    </row>
    <row r="10" spans="1:11" ht="14.5" x14ac:dyDescent="0.3">
      <c r="A10" s="40" t="s">
        <v>51</v>
      </c>
      <c r="B10" s="11">
        <f>'TNEB Charges'!B4</f>
        <v>0</v>
      </c>
      <c r="C10" s="49" t="e">
        <f>C4/C9</f>
        <v>#DIV/0!</v>
      </c>
      <c r="D10" s="49">
        <f>D4/D9</f>
        <v>4.2509448716481257</v>
      </c>
      <c r="E10" s="49" t="e">
        <f>E4/E9</f>
        <v>#DIV/0!</v>
      </c>
      <c r="G10" s="22"/>
      <c r="H10" s="22"/>
    </row>
    <row r="11" spans="1:11" ht="14.5" x14ac:dyDescent="0.3">
      <c r="A11" s="40" t="s">
        <v>6</v>
      </c>
      <c r="B11" s="11">
        <f>'TNEB Charges'!B5</f>
        <v>0.02</v>
      </c>
      <c r="C11" s="49">
        <f>(C3*1000*$B$11)+(C3*1000*$B$11*18%)</f>
        <v>0</v>
      </c>
      <c r="D11" s="49">
        <f>(D3*1000*$B$11)+(D3*1000*$B$11*18%)</f>
        <v>128.03</v>
      </c>
      <c r="E11" s="49">
        <f>(E3*1000*$B$11)+(E3*1000*$B$11*18%)</f>
        <v>0</v>
      </c>
      <c r="G11" s="22"/>
      <c r="H11" s="22"/>
    </row>
    <row r="12" spans="1:11" ht="14.5" x14ac:dyDescent="0.3">
      <c r="A12" s="40" t="s">
        <v>52</v>
      </c>
      <c r="B12" s="11">
        <f>'TNEB Charges'!B6</f>
        <v>0</v>
      </c>
      <c r="C12" s="34">
        <f>'Energy Schedule'!CI$6</f>
        <v>0</v>
      </c>
      <c r="D12" s="34">
        <f>'Energy Schedule'!CJ$6</f>
        <v>7.58</v>
      </c>
      <c r="E12" s="34">
        <f>'Energy Schedule'!CK$6</f>
        <v>0</v>
      </c>
      <c r="G12" s="22"/>
      <c r="H12" s="22"/>
    </row>
    <row r="13" spans="1:11" ht="14.5" x14ac:dyDescent="0.3">
      <c r="A13" s="40" t="s">
        <v>53</v>
      </c>
      <c r="B13" s="11">
        <f>'TNEB Charges'!B7</f>
        <v>457.6</v>
      </c>
      <c r="C13" s="50">
        <f>C3*$B$13</f>
        <v>0</v>
      </c>
      <c r="D13" s="50">
        <f>D3*$B$13</f>
        <v>2482.48</v>
      </c>
      <c r="E13" s="49">
        <f>E3*$B$13</f>
        <v>0</v>
      </c>
      <c r="G13" s="22"/>
      <c r="H13" s="22"/>
    </row>
    <row r="14" spans="1:11" ht="14.5" x14ac:dyDescent="0.3">
      <c r="A14" s="40" t="s">
        <v>7</v>
      </c>
      <c r="B14" s="11">
        <f>'TNEB Charges'!B8</f>
        <v>1</v>
      </c>
      <c r="C14" s="49">
        <f>C3*$B$14</f>
        <v>0</v>
      </c>
      <c r="D14" s="49">
        <f>D3*$B$14</f>
        <v>5.4249999999999998</v>
      </c>
      <c r="E14" s="49">
        <f>E3*$B$14</f>
        <v>0</v>
      </c>
      <c r="G14" s="22"/>
      <c r="H14" s="22"/>
    </row>
    <row r="15" spans="1:11" ht="14.5" x14ac:dyDescent="0.3">
      <c r="A15" s="40" t="s">
        <v>8</v>
      </c>
      <c r="B15" s="11">
        <f>'TNEB Charges'!B9</f>
        <v>260</v>
      </c>
      <c r="C15" s="50">
        <f>C3*$B$15</f>
        <v>0</v>
      </c>
      <c r="D15" s="50">
        <f>D3*$B$15</f>
        <v>1410.5</v>
      </c>
      <c r="E15" s="49">
        <f>E3*$B$15</f>
        <v>0</v>
      </c>
      <c r="G15" s="22"/>
      <c r="H15" s="22"/>
    </row>
    <row r="16" spans="1:11" ht="14.5" x14ac:dyDescent="0.3">
      <c r="A16" s="40" t="s">
        <v>9</v>
      </c>
      <c r="B16" s="11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0</v>
      </c>
      <c r="G16" s="22"/>
      <c r="H16" s="22"/>
    </row>
    <row r="17" spans="1:15" ht="14.5" x14ac:dyDescent="0.3">
      <c r="A17" s="40" t="s">
        <v>54</v>
      </c>
      <c r="B17" s="11">
        <f>'TNEB Charges'!B11</f>
        <v>33.74</v>
      </c>
      <c r="C17" s="49">
        <f>C3*$B$17/24</f>
        <v>0</v>
      </c>
      <c r="D17" s="49">
        <f>D3*$B$17/24</f>
        <v>7.6266458333333338</v>
      </c>
      <c r="E17" s="49">
        <f>E3*$B$17/24</f>
        <v>0</v>
      </c>
      <c r="G17" s="22"/>
      <c r="H17" s="22"/>
    </row>
    <row r="18" spans="1:15" ht="14.5" x14ac:dyDescent="0.3">
      <c r="A18" s="40" t="s">
        <v>55</v>
      </c>
      <c r="B18" s="11">
        <f>'TNEB Charges'!B12</f>
        <v>0.02</v>
      </c>
      <c r="C18" s="49">
        <f>C3*$B$18*1000</f>
        <v>0</v>
      </c>
      <c r="D18" s="49">
        <f>D3*$B$18*1000</f>
        <v>108.5</v>
      </c>
      <c r="E18" s="49">
        <f>E3*$B$18*1000</f>
        <v>0</v>
      </c>
      <c r="G18" s="22"/>
      <c r="H18" s="22"/>
    </row>
    <row r="19" spans="1:15" ht="14.5" x14ac:dyDescent="0.3">
      <c r="A19" s="40" t="s">
        <v>2</v>
      </c>
      <c r="B19" s="11">
        <f>'TNEB Charges'!B13</f>
        <v>1.99</v>
      </c>
      <c r="C19" s="49">
        <f>C9*$B$19</f>
        <v>0</v>
      </c>
      <c r="D19" s="49">
        <f>D9*$B$19</f>
        <v>9982.9608577226318</v>
      </c>
      <c r="E19" s="49">
        <f>E9*$B$19</f>
        <v>0</v>
      </c>
      <c r="G19" s="22"/>
      <c r="H19" s="22"/>
    </row>
    <row r="20" spans="1:15" ht="14.5" x14ac:dyDescent="0.3">
      <c r="A20" s="40" t="s">
        <v>3</v>
      </c>
      <c r="B20" s="11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11">
        <f>'TNEB Charges'!B15</f>
        <v>1.04</v>
      </c>
      <c r="C21" s="49">
        <f>C8*$B$21</f>
        <v>0</v>
      </c>
      <c r="D21" s="49">
        <f>D8*$B$21</f>
        <v>5217.2257748902202</v>
      </c>
      <c r="E21" s="49">
        <f>E8*$B$21</f>
        <v>0</v>
      </c>
      <c r="G21" s="22"/>
      <c r="H21" s="22"/>
    </row>
    <row r="22" spans="1:15" ht="14.5" x14ac:dyDescent="0.3">
      <c r="A22" s="40" t="s">
        <v>43</v>
      </c>
      <c r="B22" s="11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11">
        <f>'TNEB Charges'!B17</f>
        <v>0.12</v>
      </c>
      <c r="C23" s="50">
        <v>0</v>
      </c>
      <c r="D23" s="50">
        <f>D9*$B$23*10.5%</f>
        <v>63.208696888093037</v>
      </c>
      <c r="E23" s="49">
        <f>E9*$B$23*10.5%</f>
        <v>0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63.208696888093037</v>
      </c>
      <c r="E24" s="55">
        <f>E9*$B$24*10.5%</f>
        <v>0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19646.745672222372</v>
      </c>
      <c r="E25" s="59">
        <f>SUM(E11:E24)</f>
        <v>0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3.9163755568046521</v>
      </c>
      <c r="E26" s="58" t="e">
        <f>E25/E9</f>
        <v>#DIV/0!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40971.879472222368</v>
      </c>
      <c r="E27" s="14">
        <f>E4+E25</f>
        <v>0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8.1673204284527774</v>
      </c>
      <c r="E28" s="16" t="e">
        <f>E27/E9</f>
        <v>#DIV/0!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125</v>
      </c>
      <c r="D33" s="23">
        <f>M39+M46+M53</f>
        <v>115.58901486374999</v>
      </c>
      <c r="E33" s="3">
        <f>D33*B33</f>
        <v>1289.5399470737109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3125</v>
      </c>
      <c r="D34" s="13">
        <f>M41+M48+M55</f>
        <v>2889.72537159375</v>
      </c>
      <c r="E34" s="3">
        <f>D34*B34</f>
        <v>32238.498676842773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375</v>
      </c>
      <c r="D35" s="13">
        <f>M38+M40+M45+M47+M52+M54</f>
        <v>346.76704459125</v>
      </c>
      <c r="E35" s="3">
        <f>D35*B35</f>
        <v>3094.8958729769065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1799.9999999999995</v>
      </c>
      <c r="D36" s="13">
        <f>M37+M42+M44+M49+M51+M56</f>
        <v>1664.4818140379994</v>
      </c>
      <c r="E36" s="13">
        <f>D36*B36</f>
        <v>14112.725180774687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5425</v>
      </c>
      <c r="D37" s="12">
        <f>SUM(D33:D36)</f>
        <v>5016.5632450867488</v>
      </c>
      <c r="E37" s="10">
        <f>SUM(E33:E36)</f>
        <v>50735.659677668082</v>
      </c>
      <c r="F37" s="23"/>
      <c r="G37" s="22"/>
      <c r="H37" s="14" t="s">
        <v>32</v>
      </c>
      <c r="I37" s="37">
        <f>SUM('Energy Schedule'!CI7:CI26)/4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Schedule'!CI27:CI30)/4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Schedule'!CI31:CI46)/4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Schedule'!CI47:CI78)/4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Schedule'!CI79:CI94)/4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5425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Schedule'!CI95:CI102)/4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5016.5632450867488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40971.879472222368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Schedule'!CJ7:CJ26)/4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8.1673204284527792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Schedule'!CJ27:CJ30)/4</f>
        <v>0.375</v>
      </c>
      <c r="J45" s="14">
        <f t="shared" si="4"/>
        <v>375</v>
      </c>
      <c r="K45" s="14">
        <f t="shared" si="5"/>
        <v>362.13749999999999</v>
      </c>
      <c r="L45" s="14">
        <f t="shared" si="6"/>
        <v>353.66348249999999</v>
      </c>
      <c r="M45" s="14">
        <f t="shared" si="7"/>
        <v>346.76704459125</v>
      </c>
    </row>
    <row r="46" spans="1:15" ht="14.5" x14ac:dyDescent="0.3">
      <c r="A46" s="47" t="s">
        <v>18</v>
      </c>
      <c r="B46" s="7">
        <f>E37</f>
        <v>50735.659677668082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Schedule'!CJ31:CJ46)/4</f>
        <v>0.125</v>
      </c>
      <c r="J46" s="14">
        <f t="shared" si="4"/>
        <v>125</v>
      </c>
      <c r="K46" s="14">
        <f t="shared" si="5"/>
        <v>120.71250000000001</v>
      </c>
      <c r="L46" s="14">
        <f t="shared" si="6"/>
        <v>117.8878275</v>
      </c>
      <c r="M46" s="14">
        <f t="shared" si="7"/>
        <v>115.58901486374999</v>
      </c>
    </row>
    <row r="47" spans="1:15" ht="14.5" x14ac:dyDescent="0.3">
      <c r="A47" s="47" t="s">
        <v>159</v>
      </c>
      <c r="B47" s="46">
        <f>B46/B43</f>
        <v>10.113629032258066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Schedule'!CJ47:CJ78)/4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9763.7802054457134</v>
      </c>
      <c r="G48" s="22"/>
      <c r="H48" s="14" t="s">
        <v>29</v>
      </c>
      <c r="I48" s="39">
        <f>SUM('Energy Schedule'!CJ79:CJ94)/4</f>
        <v>3.125</v>
      </c>
      <c r="J48" s="14">
        <f t="shared" si="4"/>
        <v>3125</v>
      </c>
      <c r="K48" s="14">
        <f t="shared" si="5"/>
        <v>3017.8125</v>
      </c>
      <c r="L48" s="14">
        <f t="shared" si="6"/>
        <v>2947.1956875000001</v>
      </c>
      <c r="M48" s="14">
        <f t="shared" si="7"/>
        <v>2889.72537159375</v>
      </c>
    </row>
    <row r="49" spans="1:13" ht="14.5" x14ac:dyDescent="0.3">
      <c r="A49" s="47" t="s">
        <v>160</v>
      </c>
      <c r="B49" s="46">
        <f>B47-B45</f>
        <v>1.9463086038052868</v>
      </c>
      <c r="G49" s="22"/>
      <c r="H49" s="14" t="s">
        <v>32</v>
      </c>
      <c r="I49" s="37">
        <f>SUM('Energy Schedule'!CJ95:CJ102)/4</f>
        <v>0.3</v>
      </c>
      <c r="J49" s="14">
        <f t="shared" si="4"/>
        <v>300</v>
      </c>
      <c r="K49" s="14">
        <f t="shared" si="5"/>
        <v>289.70999999999998</v>
      </c>
      <c r="L49" s="14">
        <f t="shared" si="6"/>
        <v>282.93078599999996</v>
      </c>
      <c r="M49" s="14">
        <f t="shared" si="7"/>
        <v>277.41363567299993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Schedule'!CK7:CK26)/4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Schedule'!CK27:CK30)/4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Schedule'!CK31:CK46)/4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Schedule'!CK47:CK78)/4</f>
        <v>0</v>
      </c>
      <c r="J54" s="14">
        <f>I54*1000</f>
        <v>0</v>
      </c>
      <c r="K54" s="14">
        <f>J54-(J54*$B$6)</f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Schedule'!CK79:CK94)/4</f>
        <v>0</v>
      </c>
      <c r="J55" s="14">
        <f t="shared" si="4"/>
        <v>0</v>
      </c>
      <c r="K55" s="14">
        <f t="shared" si="5"/>
        <v>0</v>
      </c>
      <c r="L55" s="14">
        <f t="shared" si="6"/>
        <v>0</v>
      </c>
      <c r="M55" s="14">
        <f t="shared" si="7"/>
        <v>0</v>
      </c>
    </row>
    <row r="56" spans="1:13" s="8" customFormat="1" ht="14.5" x14ac:dyDescent="0.3">
      <c r="G56" s="22"/>
      <c r="H56" s="14" t="s">
        <v>32</v>
      </c>
      <c r="I56" s="37">
        <f>SUM('Energy Schedule'!CK95:CK102)/4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AEAE-6F20-4272-8869-2EAF75B700C1}">
  <dimension ref="A2:O222"/>
  <sheetViews>
    <sheetView zoomScale="80" zoomScaleNormal="80" workbookViewId="0">
      <selection activeCell="K22" sqref="K22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Schedule'!CL$103</f>
        <v>0</v>
      </c>
      <c r="D3" s="33">
        <f>'Energy Schedule'!CM$103</f>
        <v>7.3</v>
      </c>
      <c r="E3" s="33">
        <f>'Energy Schedule'!CN$103</f>
        <v>0</v>
      </c>
      <c r="G3" s="22"/>
      <c r="H3" s="22"/>
    </row>
    <row r="4" spans="1:11" ht="14.5" x14ac:dyDescent="0.3">
      <c r="A4" s="31" t="s">
        <v>10</v>
      </c>
      <c r="B4" s="32"/>
      <c r="C4" s="34">
        <f>'Energy Schedule'!CL$5</f>
        <v>0</v>
      </c>
      <c r="D4" s="34">
        <f>'Energy Schedule'!CM$5</f>
        <v>30980.828600000001</v>
      </c>
      <c r="E4" s="34">
        <f>'Energy Schedule'!CN$5</f>
        <v>0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7300</v>
      </c>
      <c r="E5" s="48">
        <f t="shared" si="0"/>
        <v>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7049.61</v>
      </c>
      <c r="E6" s="49">
        <f>E5-(E5*$B$6)</f>
        <v>0</v>
      </c>
      <c r="G6" s="22"/>
      <c r="H6" s="62" t="s">
        <v>28</v>
      </c>
      <c r="I6" s="76">
        <f>D33</f>
        <v>115.58901486374999</v>
      </c>
      <c r="J6" s="1">
        <f>'Consumption Details'!$B32</f>
        <v>0</v>
      </c>
      <c r="K6" s="14">
        <f>J6-I6</f>
        <v>-115.58901486374999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6884.6491259999993</v>
      </c>
      <c r="E7" s="49">
        <f>E6-(E6*$B$7)</f>
        <v>0</v>
      </c>
      <c r="G7" s="22"/>
      <c r="H7" s="62" t="s">
        <v>29</v>
      </c>
      <c r="I7" s="76">
        <f t="shared" ref="I7:I9" si="1">D34</f>
        <v>4623.5605945500001</v>
      </c>
      <c r="J7" s="1">
        <f>'Consumption Details'!$C32</f>
        <v>0</v>
      </c>
      <c r="K7" s="14">
        <f t="shared" ref="K7:K9" si="2">J7-I7</f>
        <v>-4623.5605945500001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6750.3984680429994</v>
      </c>
      <c r="E8" s="49">
        <f>E7-(E7*$B$8)</f>
        <v>0</v>
      </c>
      <c r="G8" s="22"/>
      <c r="H8" s="62" t="s">
        <v>31</v>
      </c>
      <c r="I8" s="76">
        <f t="shared" si="1"/>
        <v>346.76704459125</v>
      </c>
      <c r="J8" s="1">
        <f>'Consumption Details'!$D32</f>
        <v>0</v>
      </c>
      <c r="K8" s="14">
        <f t="shared" si="2"/>
        <v>-346.76704459125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6750.3984680429994</v>
      </c>
      <c r="E9" s="49">
        <f>E8</f>
        <v>0</v>
      </c>
      <c r="G9" s="22"/>
      <c r="H9" s="62" t="s">
        <v>32</v>
      </c>
      <c r="I9" s="76">
        <f t="shared" si="1"/>
        <v>1664.4818140379994</v>
      </c>
      <c r="J9" s="1">
        <f>'Consumption Details'!$E32</f>
        <v>0</v>
      </c>
      <c r="K9" s="14">
        <f t="shared" si="2"/>
        <v>-1664.4818140379994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>
        <f>D4/D9</f>
        <v>4.589481457526702</v>
      </c>
      <c r="E10" s="49" t="e">
        <f>E4/E9</f>
        <v>#DIV/0!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172.28</v>
      </c>
      <c r="E11" s="49">
        <f>(E3*1000*$B$11)+(E3*1000*$B$11*18%)</f>
        <v>0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Schedule'!CL$6</f>
        <v>0</v>
      </c>
      <c r="D12" s="34">
        <f>'Energy Schedule'!CM$6</f>
        <v>8.16</v>
      </c>
      <c r="E12" s="34">
        <f>'Energy Schedule'!CN$6</f>
        <v>0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3340.48</v>
      </c>
      <c r="E13" s="49">
        <f>E3*$B$13</f>
        <v>0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7.3</v>
      </c>
      <c r="E14" s="49">
        <f>E3*$B$14</f>
        <v>0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1898</v>
      </c>
      <c r="E15" s="49">
        <f>E3*$B$15</f>
        <v>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170</v>
      </c>
      <c r="E16" s="49">
        <f t="shared" si="3"/>
        <v>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10.262583333333334</v>
      </c>
      <c r="E17" s="49">
        <f>E3*$B$17/24</f>
        <v>0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146</v>
      </c>
      <c r="E18" s="49">
        <f>E3*$B$18*1000</f>
        <v>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13433.292951405569</v>
      </c>
      <c r="E19" s="49">
        <f>E9*$B$19</f>
        <v>0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7020.4144067647194</v>
      </c>
      <c r="E21" s="49">
        <f>E8*$B$21</f>
        <v>0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85.055020697341789</v>
      </c>
      <c r="E23" s="49">
        <f>E9*$B$23*10.5%</f>
        <v>0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85.055020697341789</v>
      </c>
      <c r="E24" s="55">
        <f>E9*$B$24*10.5%</f>
        <v>0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26376.299982898308</v>
      </c>
      <c r="E25" s="59">
        <f>SUM(E11:E24)</f>
        <v>0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>
        <f>D25/D9</f>
        <v>3.907369336457116</v>
      </c>
      <c r="E26" s="58" t="e">
        <f>E25/E9</f>
        <v>#DIV/0!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57357.128582898309</v>
      </c>
      <c r="E27" s="14">
        <f>E4+E25</f>
        <v>0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>
        <f>D27/D9</f>
        <v>8.4968507939838176</v>
      </c>
      <c r="E28" s="16" t="e">
        <f>E27/E9</f>
        <v>#DIV/0!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125</v>
      </c>
      <c r="D33" s="23">
        <f>M39+M46+M53</f>
        <v>115.58901486374999</v>
      </c>
      <c r="E33" s="3">
        <f>D33*B33</f>
        <v>1289.5399470737109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5000</v>
      </c>
      <c r="D34" s="13">
        <f>M41+M48+M55</f>
        <v>4623.5605945500001</v>
      </c>
      <c r="E34" s="3">
        <f>D34*B34</f>
        <v>51581.597882948437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375</v>
      </c>
      <c r="D35" s="13">
        <f>M38+M40+M45+M47+M52+M54</f>
        <v>346.76704459125</v>
      </c>
      <c r="E35" s="3">
        <f>D35*B35</f>
        <v>3094.8958729769065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1799.9999999999995</v>
      </c>
      <c r="D36" s="13">
        <f>M37+M42+M44+M49+M51+M56</f>
        <v>1664.4818140379994</v>
      </c>
      <c r="E36" s="13">
        <f>D36*B36</f>
        <v>14112.725180774687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7300</v>
      </c>
      <c r="D37" s="12">
        <f>SUM(D33:D36)</f>
        <v>6750.3984680429994</v>
      </c>
      <c r="E37" s="10">
        <f>SUM(E33:E36)</f>
        <v>70078.758883773742</v>
      </c>
      <c r="F37" s="23"/>
      <c r="G37" s="22"/>
      <c r="H37" s="14" t="s">
        <v>32</v>
      </c>
      <c r="I37" s="37">
        <f>SUM('Energy Schedule'!CL7:CL26)/4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Schedule'!CL27:CL30)/4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Schedule'!CL31:CL46)/4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Schedule'!CL47:CL78)/4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Schedule'!CL79:CL94)/4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7300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Schedule'!CL95:CL102)/4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6750.3984680429994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57357.128582898309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Schedule'!CM7:CM26)/4</f>
        <v>1.4999999999999996</v>
      </c>
      <c r="J44" s="14">
        <f t="shared" si="4"/>
        <v>1499.9999999999995</v>
      </c>
      <c r="K44" s="14">
        <f>J44-(J44*$B$6)</f>
        <v>1448.5499999999995</v>
      </c>
      <c r="L44" s="14">
        <f t="shared" si="6"/>
        <v>1414.6539299999995</v>
      </c>
      <c r="M44" s="14">
        <f t="shared" si="7"/>
        <v>1387.0681783649995</v>
      </c>
    </row>
    <row r="45" spans="1:15" ht="14.5" x14ac:dyDescent="0.3">
      <c r="A45" s="47" t="s">
        <v>158</v>
      </c>
      <c r="B45" s="16">
        <f>B44/B43</f>
        <v>8.4968507939838176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Schedule'!CM27:CM30)/4</f>
        <v>0.375</v>
      </c>
      <c r="J45" s="14">
        <f t="shared" si="4"/>
        <v>375</v>
      </c>
      <c r="K45" s="14">
        <f t="shared" si="5"/>
        <v>362.13749999999999</v>
      </c>
      <c r="L45" s="14">
        <f t="shared" si="6"/>
        <v>353.66348249999999</v>
      </c>
      <c r="M45" s="14">
        <f t="shared" si="7"/>
        <v>346.76704459125</v>
      </c>
    </row>
    <row r="46" spans="1:15" ht="14.5" x14ac:dyDescent="0.3">
      <c r="A46" s="47" t="s">
        <v>18</v>
      </c>
      <c r="B46" s="7">
        <f>E37</f>
        <v>70078.758883773742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Schedule'!CM31:CM46)/4</f>
        <v>0.125</v>
      </c>
      <c r="J46" s="14">
        <f t="shared" si="4"/>
        <v>125</v>
      </c>
      <c r="K46" s="14">
        <f t="shared" si="5"/>
        <v>120.71250000000001</v>
      </c>
      <c r="L46" s="14">
        <f t="shared" si="6"/>
        <v>117.8878275</v>
      </c>
      <c r="M46" s="14">
        <f t="shared" si="7"/>
        <v>115.58901486374999</v>
      </c>
    </row>
    <row r="47" spans="1:15" ht="14.5" x14ac:dyDescent="0.3">
      <c r="A47" s="47" t="s">
        <v>159</v>
      </c>
      <c r="B47" s="46">
        <f>B46/B43</f>
        <v>10.38142551369863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Schedule'!CM47:CM78)/4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12721.630300875433</v>
      </c>
      <c r="G48" s="22"/>
      <c r="H48" s="14" t="s">
        <v>29</v>
      </c>
      <c r="I48" s="39">
        <f>SUM('Energy Schedule'!CM79:CM94)/4</f>
        <v>5</v>
      </c>
      <c r="J48" s="14">
        <f t="shared" si="4"/>
        <v>5000</v>
      </c>
      <c r="K48" s="14">
        <f t="shared" si="5"/>
        <v>4828.5</v>
      </c>
      <c r="L48" s="14">
        <f t="shared" si="6"/>
        <v>4715.5131000000001</v>
      </c>
      <c r="M48" s="14">
        <f t="shared" si="7"/>
        <v>4623.5605945500001</v>
      </c>
    </row>
    <row r="49" spans="1:13" ht="14.5" x14ac:dyDescent="0.3">
      <c r="A49" s="47" t="s">
        <v>160</v>
      </c>
      <c r="B49" s="46">
        <f>B47-B45</f>
        <v>1.8845747197148128</v>
      </c>
      <c r="G49" s="22"/>
      <c r="H49" s="14" t="s">
        <v>32</v>
      </c>
      <c r="I49" s="37">
        <f>SUM('Energy Schedule'!CM95:CM102)/4</f>
        <v>0.3</v>
      </c>
      <c r="J49" s="14">
        <f t="shared" si="4"/>
        <v>300</v>
      </c>
      <c r="K49" s="14">
        <f t="shared" si="5"/>
        <v>289.70999999999998</v>
      </c>
      <c r="L49" s="14">
        <f t="shared" si="6"/>
        <v>282.93078599999996</v>
      </c>
      <c r="M49" s="14">
        <f t="shared" si="7"/>
        <v>277.41363567299993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Schedule'!CN7:CN26)/4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Schedule'!CN27:CN30)/4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Schedule'!CN31:CN46)/4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Schedule'!CN47:CN78)/4</f>
        <v>0</v>
      </c>
      <c r="J54" s="14">
        <f>I54*1000</f>
        <v>0</v>
      </c>
      <c r="K54" s="14">
        <f>J54-(J54*$B$6)</f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Schedule'!CN79:CN94)/4</f>
        <v>0</v>
      </c>
      <c r="J55" s="14">
        <f t="shared" si="4"/>
        <v>0</v>
      </c>
      <c r="K55" s="14">
        <f t="shared" si="5"/>
        <v>0</v>
      </c>
      <c r="L55" s="14">
        <f t="shared" si="6"/>
        <v>0</v>
      </c>
      <c r="M55" s="14">
        <f t="shared" si="7"/>
        <v>0</v>
      </c>
    </row>
    <row r="56" spans="1:13" s="8" customFormat="1" ht="14.5" x14ac:dyDescent="0.3">
      <c r="G56" s="22"/>
      <c r="H56" s="14" t="s">
        <v>32</v>
      </c>
      <c r="I56" s="37">
        <f>SUM('Energy Schedule'!CN95:CN102)/4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740E-916D-4FB8-AD3C-DD1F4CC0900B}">
  <dimension ref="A2:O222"/>
  <sheetViews>
    <sheetView zoomScale="80" zoomScaleNormal="80" workbookViewId="0">
      <selection activeCell="J10" sqref="J10"/>
    </sheetView>
  </sheetViews>
  <sheetFormatPr defaultColWidth="8.7265625" defaultRowHeight="13" x14ac:dyDescent="0.3"/>
  <cols>
    <col min="1" max="1" width="33.6328125" style="1" customWidth="1"/>
    <col min="2" max="2" width="14.1796875" style="1" bestFit="1" customWidth="1"/>
    <col min="3" max="3" width="14.08984375" style="1" bestFit="1" customWidth="1"/>
    <col min="4" max="4" width="14" style="1" bestFit="1" customWidth="1"/>
    <col min="5" max="5" width="12.90625" style="1" bestFit="1" customWidth="1"/>
    <col min="6" max="6" width="11.54296875" style="1" customWidth="1"/>
    <col min="7" max="7" width="15.81640625" style="1" bestFit="1" customWidth="1"/>
    <col min="8" max="8" width="8.7265625" style="1"/>
    <col min="9" max="9" width="18.1796875" style="1" bestFit="1" customWidth="1"/>
    <col min="10" max="10" width="15.54296875" style="1" bestFit="1" customWidth="1"/>
    <col min="11" max="11" width="15.1796875" style="1" bestFit="1" customWidth="1"/>
    <col min="12" max="13" width="14.1796875" style="1" bestFit="1" customWidth="1"/>
    <col min="14" max="16384" width="8.7265625" style="1"/>
  </cols>
  <sheetData>
    <row r="2" spans="1:11" x14ac:dyDescent="0.3">
      <c r="C2" s="2" t="s">
        <v>46</v>
      </c>
      <c r="D2" s="2" t="s">
        <v>12</v>
      </c>
      <c r="E2" s="2" t="s">
        <v>16</v>
      </c>
    </row>
    <row r="3" spans="1:11" ht="14.5" x14ac:dyDescent="0.3">
      <c r="A3" s="29" t="s">
        <v>59</v>
      </c>
      <c r="B3" s="30"/>
      <c r="C3" s="33">
        <f>'Energy Schedule'!CO$103</f>
        <v>0</v>
      </c>
      <c r="D3" s="33">
        <f>'Energy Schedule'!CP$103</f>
        <v>0</v>
      </c>
      <c r="E3" s="33">
        <f>'Energy Schedule'!CQ$103</f>
        <v>0</v>
      </c>
      <c r="G3" s="22"/>
      <c r="H3" s="22"/>
    </row>
    <row r="4" spans="1:11" ht="14.5" x14ac:dyDescent="0.3">
      <c r="A4" s="31" t="s">
        <v>10</v>
      </c>
      <c r="B4" s="32"/>
      <c r="C4" s="34">
        <f>'Energy Schedule'!CO$5</f>
        <v>0</v>
      </c>
      <c r="D4" s="34">
        <f>'Energy Schedule'!CP$5</f>
        <v>0</v>
      </c>
      <c r="E4" s="34">
        <f>'Energy Schedule'!CQ$5</f>
        <v>0</v>
      </c>
      <c r="G4" s="22"/>
      <c r="H4" s="22"/>
    </row>
    <row r="5" spans="1:11" ht="14.5" x14ac:dyDescent="0.3">
      <c r="A5" s="40" t="s">
        <v>58</v>
      </c>
      <c r="C5" s="48">
        <f>C3*1000</f>
        <v>0</v>
      </c>
      <c r="D5" s="48">
        <f t="shared" ref="D5:E5" si="0">D3*1000</f>
        <v>0</v>
      </c>
      <c r="E5" s="48">
        <f t="shared" si="0"/>
        <v>0</v>
      </c>
      <c r="G5" s="22"/>
      <c r="H5" s="62"/>
      <c r="I5" s="1" t="s">
        <v>168</v>
      </c>
      <c r="J5" s="1" t="s">
        <v>167</v>
      </c>
      <c r="K5" s="1" t="s">
        <v>36</v>
      </c>
    </row>
    <row r="6" spans="1:11" ht="14.5" x14ac:dyDescent="0.3">
      <c r="A6" s="40" t="s">
        <v>47</v>
      </c>
      <c r="B6" s="51">
        <f>'Savings Sheet'!B5</f>
        <v>3.4299999999999997E-2</v>
      </c>
      <c r="C6" s="49">
        <f>C5-(C5*$B$6)</f>
        <v>0</v>
      </c>
      <c r="D6" s="49">
        <f>D5-(D5*$B$6)</f>
        <v>0</v>
      </c>
      <c r="E6" s="49">
        <f>E5-(E5*$B$6)</f>
        <v>0</v>
      </c>
      <c r="G6" s="22"/>
      <c r="H6" s="62" t="s">
        <v>28</v>
      </c>
      <c r="I6" s="76">
        <f>D33</f>
        <v>0</v>
      </c>
      <c r="J6" s="1">
        <f>'Consumption Details'!$B33</f>
        <v>0</v>
      </c>
      <c r="K6" s="14">
        <f>J6-I6</f>
        <v>0</v>
      </c>
    </row>
    <row r="7" spans="1:11" ht="14.5" x14ac:dyDescent="0.3">
      <c r="A7" s="40" t="s">
        <v>48</v>
      </c>
      <c r="B7" s="52">
        <f>'TNEB Charges'!B1</f>
        <v>2.3400000000000001E-2</v>
      </c>
      <c r="C7" s="49">
        <f>C6-(C6*$B$7)</f>
        <v>0</v>
      </c>
      <c r="D7" s="49">
        <f>D6-(D6*$B$7)</f>
        <v>0</v>
      </c>
      <c r="E7" s="49">
        <f>E6-(E6*$B$7)</f>
        <v>0</v>
      </c>
      <c r="G7" s="22"/>
      <c r="H7" s="62" t="s">
        <v>29</v>
      </c>
      <c r="I7" s="76">
        <f t="shared" ref="I7:I9" si="1">D34</f>
        <v>0</v>
      </c>
      <c r="J7" s="1">
        <f>'Consumption Details'!$C33</f>
        <v>0</v>
      </c>
      <c r="K7" s="14">
        <f t="shared" ref="K7:K9" si="2">J7-I7</f>
        <v>0</v>
      </c>
    </row>
    <row r="8" spans="1:11" ht="14.5" x14ac:dyDescent="0.3">
      <c r="A8" s="40" t="s">
        <v>49</v>
      </c>
      <c r="B8" s="52">
        <f>'TNEB Charges'!B2</f>
        <v>1.95E-2</v>
      </c>
      <c r="C8" s="49">
        <f>C7-(C7*$B$8)</f>
        <v>0</v>
      </c>
      <c r="D8" s="49">
        <f>D7-(D7*$B$8)</f>
        <v>0</v>
      </c>
      <c r="E8" s="49">
        <f>E7-(E7*$B$8)</f>
        <v>0</v>
      </c>
      <c r="G8" s="22"/>
      <c r="H8" s="62" t="s">
        <v>31</v>
      </c>
      <c r="I8" s="76">
        <f t="shared" si="1"/>
        <v>0</v>
      </c>
      <c r="J8" s="1">
        <f>'Consumption Details'!$D33</f>
        <v>0</v>
      </c>
      <c r="K8" s="14">
        <f t="shared" si="2"/>
        <v>0</v>
      </c>
    </row>
    <row r="9" spans="1:11" ht="14.5" x14ac:dyDescent="0.3">
      <c r="A9" s="40" t="s">
        <v>50</v>
      </c>
      <c r="B9" s="64">
        <f>'TNEB Charges'!B3</f>
        <v>0</v>
      </c>
      <c r="C9" s="49">
        <f>C8</f>
        <v>0</v>
      </c>
      <c r="D9" s="49">
        <f>D8</f>
        <v>0</v>
      </c>
      <c r="E9" s="49">
        <f>E8</f>
        <v>0</v>
      </c>
      <c r="G9" s="22"/>
      <c r="H9" s="62" t="s">
        <v>32</v>
      </c>
      <c r="I9" s="76">
        <f t="shared" si="1"/>
        <v>0</v>
      </c>
      <c r="J9" s="1">
        <f>'Consumption Details'!$E33</f>
        <v>0</v>
      </c>
      <c r="K9" s="14">
        <f t="shared" si="2"/>
        <v>0</v>
      </c>
    </row>
    <row r="10" spans="1:11" ht="14.5" x14ac:dyDescent="0.3">
      <c r="A10" s="40" t="s">
        <v>51</v>
      </c>
      <c r="B10" s="64">
        <f>'TNEB Charges'!B4</f>
        <v>0</v>
      </c>
      <c r="C10" s="49" t="e">
        <f>C4/C9</f>
        <v>#DIV/0!</v>
      </c>
      <c r="D10" s="49" t="e">
        <f>D4/D9</f>
        <v>#DIV/0!</v>
      </c>
      <c r="E10" s="49" t="e">
        <f>E4/E9</f>
        <v>#DIV/0!</v>
      </c>
      <c r="G10" s="22"/>
      <c r="H10" s="22"/>
    </row>
    <row r="11" spans="1:11" ht="14.5" x14ac:dyDescent="0.3">
      <c r="A11" s="40" t="s">
        <v>6</v>
      </c>
      <c r="B11" s="64">
        <f>'TNEB Charges'!B5</f>
        <v>0.02</v>
      </c>
      <c r="C11" s="49">
        <f>(C3*1000*$B$11)+(C3*1000*$B$11*18%)</f>
        <v>0</v>
      </c>
      <c r="D11" s="49">
        <f>(D3*1000*$B$11)+(D3*1000*$B$11*18%)</f>
        <v>0</v>
      </c>
      <c r="E11" s="49">
        <f>(E3*1000*$B$11)+(E3*1000*$B$11*18%)</f>
        <v>0</v>
      </c>
      <c r="G11" s="22"/>
      <c r="H11" s="22"/>
    </row>
    <row r="12" spans="1:11" ht="14.5" x14ac:dyDescent="0.3">
      <c r="A12" s="40" t="s">
        <v>52</v>
      </c>
      <c r="B12" s="64">
        <f>'TNEB Charges'!B6</f>
        <v>0</v>
      </c>
      <c r="C12" s="34">
        <f>'Energy Schedule'!CO$6</f>
        <v>0</v>
      </c>
      <c r="D12" s="34">
        <f>'Energy Schedule'!CP$6</f>
        <v>0</v>
      </c>
      <c r="E12" s="34">
        <f>'Energy Schedule'!CQ$6</f>
        <v>0</v>
      </c>
      <c r="G12" s="22"/>
      <c r="H12" s="22"/>
    </row>
    <row r="13" spans="1:11" ht="14.5" x14ac:dyDescent="0.3">
      <c r="A13" s="40" t="s">
        <v>53</v>
      </c>
      <c r="B13" s="64">
        <f>'TNEB Charges'!B7</f>
        <v>457.6</v>
      </c>
      <c r="C13" s="50">
        <f>C3*$B$13</f>
        <v>0</v>
      </c>
      <c r="D13" s="50">
        <f>D3*$B$13</f>
        <v>0</v>
      </c>
      <c r="E13" s="49">
        <f>E3*$B$13</f>
        <v>0</v>
      </c>
      <c r="G13" s="22"/>
      <c r="H13" s="22"/>
    </row>
    <row r="14" spans="1:11" ht="14.5" x14ac:dyDescent="0.3">
      <c r="A14" s="40" t="s">
        <v>7</v>
      </c>
      <c r="B14" s="64">
        <f>'TNEB Charges'!B8</f>
        <v>1</v>
      </c>
      <c r="C14" s="49">
        <f>C3*$B$14</f>
        <v>0</v>
      </c>
      <c r="D14" s="49">
        <f>D3*$B$14</f>
        <v>0</v>
      </c>
      <c r="E14" s="49">
        <f>E3*$B$14</f>
        <v>0</v>
      </c>
      <c r="G14" s="22"/>
      <c r="H14" s="22"/>
    </row>
    <row r="15" spans="1:11" ht="14.5" x14ac:dyDescent="0.3">
      <c r="A15" s="40" t="s">
        <v>8</v>
      </c>
      <c r="B15" s="64">
        <f>'TNEB Charges'!B9</f>
        <v>260</v>
      </c>
      <c r="C15" s="50">
        <f>C3*$B$15</f>
        <v>0</v>
      </c>
      <c r="D15" s="50">
        <f>D3*$B$15</f>
        <v>0</v>
      </c>
      <c r="E15" s="49">
        <f>E3*$B$15</f>
        <v>0</v>
      </c>
      <c r="G15" s="22"/>
      <c r="H15" s="22"/>
    </row>
    <row r="16" spans="1:11" ht="14.5" x14ac:dyDescent="0.3">
      <c r="A16" s="40" t="s">
        <v>9</v>
      </c>
      <c r="B16" s="64">
        <f>'TNEB Charges'!B10</f>
        <v>170</v>
      </c>
      <c r="C16" s="49">
        <f>IF(C3&gt;0,$B$16,0)</f>
        <v>0</v>
      </c>
      <c r="D16" s="49">
        <f t="shared" ref="D16:E16" si="3">IF(D3&gt;0,$B$16,0)</f>
        <v>0</v>
      </c>
      <c r="E16" s="49">
        <f t="shared" si="3"/>
        <v>0</v>
      </c>
      <c r="G16" s="22"/>
      <c r="H16" s="22"/>
    </row>
    <row r="17" spans="1:15" ht="14.5" x14ac:dyDescent="0.3">
      <c r="A17" s="40" t="s">
        <v>54</v>
      </c>
      <c r="B17" s="64">
        <f>'TNEB Charges'!B11</f>
        <v>33.74</v>
      </c>
      <c r="C17" s="49">
        <f>C3*$B$17/24</f>
        <v>0</v>
      </c>
      <c r="D17" s="49">
        <f>D3*$B$17/24</f>
        <v>0</v>
      </c>
      <c r="E17" s="49">
        <f>E3*$B$17/24</f>
        <v>0</v>
      </c>
      <c r="G17" s="22"/>
      <c r="H17" s="22"/>
    </row>
    <row r="18" spans="1:15" ht="14.5" x14ac:dyDescent="0.3">
      <c r="A18" s="40" t="s">
        <v>55</v>
      </c>
      <c r="B18" s="64">
        <f>'TNEB Charges'!B12</f>
        <v>0.02</v>
      </c>
      <c r="C18" s="49">
        <f>C3*$B$18*1000</f>
        <v>0</v>
      </c>
      <c r="D18" s="49">
        <f>D3*$B$18*1000</f>
        <v>0</v>
      </c>
      <c r="E18" s="49">
        <f>E3*$B$18*1000</f>
        <v>0</v>
      </c>
      <c r="G18" s="22"/>
      <c r="H18" s="22"/>
    </row>
    <row r="19" spans="1:15" ht="14.5" x14ac:dyDescent="0.3">
      <c r="A19" s="40" t="s">
        <v>2</v>
      </c>
      <c r="B19" s="64">
        <f>'TNEB Charges'!B13</f>
        <v>1.99</v>
      </c>
      <c r="C19" s="49">
        <f>C9*$B$19</f>
        <v>0</v>
      </c>
      <c r="D19" s="49">
        <f>D9*$B$19</f>
        <v>0</v>
      </c>
      <c r="E19" s="49">
        <f>E9*$B$19</f>
        <v>0</v>
      </c>
      <c r="G19" s="22"/>
      <c r="H19" s="22"/>
    </row>
    <row r="20" spans="1:15" ht="14.5" x14ac:dyDescent="0.3">
      <c r="A20" s="40" t="s">
        <v>3</v>
      </c>
      <c r="B20" s="64">
        <f>'TNEB Charges'!B14</f>
        <v>0</v>
      </c>
      <c r="C20" s="49">
        <f>C9*$B$20</f>
        <v>0</v>
      </c>
      <c r="D20" s="49">
        <f>D9*$B$20</f>
        <v>0</v>
      </c>
      <c r="E20" s="49">
        <f>E9*$B$20</f>
        <v>0</v>
      </c>
      <c r="G20" s="22"/>
      <c r="H20" s="22"/>
    </row>
    <row r="21" spans="1:15" ht="14.5" x14ac:dyDescent="0.3">
      <c r="A21" s="40" t="s">
        <v>4</v>
      </c>
      <c r="B21" s="64">
        <f>'TNEB Charges'!B15</f>
        <v>1.04</v>
      </c>
      <c r="C21" s="49">
        <f>C8*$B$21</f>
        <v>0</v>
      </c>
      <c r="D21" s="49">
        <f>D8*$B$21</f>
        <v>0</v>
      </c>
      <c r="E21" s="49">
        <f>E8*$B$21</f>
        <v>0</v>
      </c>
      <c r="G21" s="22"/>
      <c r="H21" s="22"/>
    </row>
    <row r="22" spans="1:15" ht="14.5" x14ac:dyDescent="0.3">
      <c r="A22" s="40" t="s">
        <v>43</v>
      </c>
      <c r="B22" s="64">
        <f>'TNEB Charges'!B16</f>
        <v>0</v>
      </c>
      <c r="C22" s="50">
        <f>C9*$B$22</f>
        <v>0</v>
      </c>
      <c r="D22" s="50">
        <f>D9*$B$22</f>
        <v>0</v>
      </c>
      <c r="E22" s="49">
        <f>E9*$B$22</f>
        <v>0</v>
      </c>
      <c r="G22" s="22"/>
      <c r="H22" s="22"/>
    </row>
    <row r="23" spans="1:15" ht="14.5" x14ac:dyDescent="0.3">
      <c r="A23" s="40" t="s">
        <v>5</v>
      </c>
      <c r="B23" s="64">
        <f>'TNEB Charges'!B17</f>
        <v>0.12</v>
      </c>
      <c r="C23" s="50">
        <v>0</v>
      </c>
      <c r="D23" s="50">
        <f>D9*$B$23*10.5%</f>
        <v>0</v>
      </c>
      <c r="E23" s="49">
        <f>E9*$B$23*10.5%</f>
        <v>0</v>
      </c>
      <c r="G23" s="22"/>
      <c r="H23" s="22"/>
    </row>
    <row r="24" spans="1:15" ht="15" thickBot="1" x14ac:dyDescent="0.35">
      <c r="A24" s="53" t="s">
        <v>57</v>
      </c>
      <c r="B24" s="65">
        <f>'TNEB Charges'!B18</f>
        <v>0.12</v>
      </c>
      <c r="C24" s="54">
        <v>0</v>
      </c>
      <c r="D24" s="54">
        <f>D9*$B$24*10.5%</f>
        <v>0</v>
      </c>
      <c r="E24" s="55">
        <f>E9*$B$24*10.5%</f>
        <v>0</v>
      </c>
      <c r="G24" s="22"/>
      <c r="H24" s="22"/>
    </row>
    <row r="25" spans="1:15" ht="15" thickTop="1" x14ac:dyDescent="0.3">
      <c r="A25" s="40" t="s">
        <v>56</v>
      </c>
      <c r="B25" s="19"/>
      <c r="C25" s="20">
        <f>SUM(C11:C24)</f>
        <v>0</v>
      </c>
      <c r="D25" s="20">
        <f>SUM(D11:D24)</f>
        <v>0</v>
      </c>
      <c r="E25" s="59">
        <f>SUM(E11:E24)</f>
        <v>0</v>
      </c>
      <c r="G25" s="22"/>
      <c r="H25" s="22"/>
    </row>
    <row r="26" spans="1:15" ht="14.5" x14ac:dyDescent="0.3">
      <c r="A26" s="31"/>
      <c r="B26" s="56"/>
      <c r="C26" s="57" t="e">
        <f>C25/C9</f>
        <v>#DIV/0!</v>
      </c>
      <c r="D26" s="57" t="e">
        <f>D25/D9</f>
        <v>#DIV/0!</v>
      </c>
      <c r="E26" s="58" t="e">
        <f>E25/E9</f>
        <v>#DIV/0!</v>
      </c>
      <c r="G26" s="22"/>
      <c r="H26" s="22"/>
    </row>
    <row r="27" spans="1:15" ht="14.5" x14ac:dyDescent="0.3">
      <c r="A27" s="1" t="s">
        <v>161</v>
      </c>
      <c r="C27" s="14">
        <f>C4+C25</f>
        <v>0</v>
      </c>
      <c r="D27" s="14">
        <f>D4+D25</f>
        <v>0</v>
      </c>
      <c r="E27" s="14">
        <f>E4+E25</f>
        <v>0</v>
      </c>
      <c r="G27" s="22"/>
      <c r="H27" s="22"/>
    </row>
    <row r="28" spans="1:15" ht="15" thickBot="1" x14ac:dyDescent="0.35">
      <c r="A28" s="1" t="s">
        <v>162</v>
      </c>
      <c r="C28" s="16" t="e">
        <f>C27/C9</f>
        <v>#DIV/0!</v>
      </c>
      <c r="D28" s="16" t="e">
        <f>D27/D9</f>
        <v>#DIV/0!</v>
      </c>
      <c r="E28" s="16" t="e">
        <f>E27/E9</f>
        <v>#DIV/0!</v>
      </c>
      <c r="G28" s="22"/>
      <c r="H28" s="22"/>
    </row>
    <row r="29" spans="1:15" ht="15" thickBot="1" x14ac:dyDescent="0.35">
      <c r="G29" s="22"/>
      <c r="H29" s="17"/>
      <c r="I29" s="174" t="s">
        <v>15</v>
      </c>
      <c r="J29" s="24" t="s">
        <v>37</v>
      </c>
      <c r="K29" s="24" t="s">
        <v>38</v>
      </c>
      <c r="L29" s="24" t="s">
        <v>39</v>
      </c>
      <c r="M29" s="24" t="s">
        <v>39</v>
      </c>
      <c r="N29" s="24" t="s">
        <v>40</v>
      </c>
      <c r="O29" s="24" t="s">
        <v>41</v>
      </c>
    </row>
    <row r="30" spans="1:15" ht="15" thickBot="1" x14ac:dyDescent="0.35">
      <c r="A30" s="15" t="s">
        <v>35</v>
      </c>
      <c r="B30" s="15"/>
      <c r="C30" s="15"/>
      <c r="D30" s="15"/>
      <c r="E30" s="15"/>
      <c r="F30" s="15"/>
      <c r="G30" s="22"/>
      <c r="H30" s="17"/>
      <c r="I30" s="175"/>
      <c r="J30" s="25" t="s">
        <v>28</v>
      </c>
      <c r="K30" s="25" t="s">
        <v>29</v>
      </c>
      <c r="L30" s="25" t="s">
        <v>31</v>
      </c>
      <c r="M30" s="25" t="s">
        <v>32</v>
      </c>
      <c r="N30" s="25" t="s">
        <v>156</v>
      </c>
      <c r="O30" s="25"/>
    </row>
    <row r="31" spans="1:15" ht="15" thickBot="1" x14ac:dyDescent="0.35">
      <c r="A31" s="21" t="s">
        <v>12</v>
      </c>
      <c r="B31" s="21"/>
      <c r="C31" s="21"/>
      <c r="D31" s="21"/>
      <c r="E31" s="21"/>
      <c r="F31" s="21"/>
      <c r="G31" s="22"/>
      <c r="H31" s="17"/>
      <c r="I31" s="26" t="s">
        <v>42</v>
      </c>
      <c r="J31" s="27">
        <f>$L$31+($L$31*25%)</f>
        <v>10.625</v>
      </c>
      <c r="K31" s="27">
        <f>$L$31+($L$31*25%)</f>
        <v>10.625</v>
      </c>
      <c r="L31" s="27">
        <v>8.5</v>
      </c>
      <c r="M31" s="27">
        <f>$L$31-($L$31*5%)</f>
        <v>8.0749999999999993</v>
      </c>
      <c r="N31" s="27">
        <v>6.03</v>
      </c>
      <c r="O31" s="27">
        <f>AVERAGE(J31:M31)</f>
        <v>9.4562500000000007</v>
      </c>
    </row>
    <row r="32" spans="1:15" ht="15" thickBot="1" x14ac:dyDescent="0.35">
      <c r="A32" s="21" t="s">
        <v>15</v>
      </c>
      <c r="B32" s="21" t="s">
        <v>0</v>
      </c>
      <c r="C32" s="21" t="s">
        <v>13</v>
      </c>
      <c r="D32" s="21" t="s">
        <v>14</v>
      </c>
      <c r="E32" s="21" t="s">
        <v>157</v>
      </c>
      <c r="F32" s="2"/>
      <c r="G32" s="22"/>
      <c r="H32" s="17"/>
      <c r="I32" s="26" t="s">
        <v>43</v>
      </c>
      <c r="J32" s="28">
        <v>0.05</v>
      </c>
      <c r="K32" s="28">
        <v>0.05</v>
      </c>
      <c r="L32" s="28">
        <v>0.05</v>
      </c>
      <c r="M32" s="28">
        <v>0.05</v>
      </c>
      <c r="N32" s="28">
        <v>0.05</v>
      </c>
      <c r="O32" s="28">
        <v>0.05</v>
      </c>
    </row>
    <row r="33" spans="1:15" ht="15" thickBot="1" x14ac:dyDescent="0.35">
      <c r="A33" s="5" t="s">
        <v>28</v>
      </c>
      <c r="B33" s="23">
        <f>J33</f>
        <v>11.15625</v>
      </c>
      <c r="C33" s="13">
        <f>J39+J46+J53</f>
        <v>0</v>
      </c>
      <c r="D33" s="23">
        <f>M39+M46+M53</f>
        <v>0</v>
      </c>
      <c r="E33" s="3">
        <f>D33*B33</f>
        <v>0</v>
      </c>
      <c r="F33" s="2"/>
      <c r="G33" s="22"/>
      <c r="H33" s="17"/>
      <c r="I33" s="26" t="s">
        <v>44</v>
      </c>
      <c r="J33" s="35">
        <f>J31+(J31*J32)</f>
        <v>11.15625</v>
      </c>
      <c r="K33" s="35">
        <f>K31+(K31*K32)</f>
        <v>11.15625</v>
      </c>
      <c r="L33" s="35">
        <f>L31+(L31*L32)</f>
        <v>8.9250000000000007</v>
      </c>
      <c r="M33" s="35">
        <f>M31+(M31*M32)</f>
        <v>8.4787499999999998</v>
      </c>
      <c r="N33" s="35">
        <f>N31+(N31*N32)</f>
        <v>6.3315000000000001</v>
      </c>
      <c r="O33" s="36">
        <f>AVERAGE(J33:M33)</f>
        <v>9.9290625000000006</v>
      </c>
    </row>
    <row r="34" spans="1:15" ht="14.5" x14ac:dyDescent="0.3">
      <c r="A34" s="5" t="s">
        <v>29</v>
      </c>
      <c r="B34" s="23">
        <f>K33</f>
        <v>11.15625</v>
      </c>
      <c r="C34" s="13">
        <f>J41+J48+J55</f>
        <v>0</v>
      </c>
      <c r="D34" s="13">
        <f>M41+M48+M55</f>
        <v>0</v>
      </c>
      <c r="E34" s="3">
        <f>D34*B34</f>
        <v>0</v>
      </c>
      <c r="F34" s="2"/>
      <c r="G34" s="22"/>
      <c r="H34" s="17"/>
    </row>
    <row r="35" spans="1:15" ht="14.5" x14ac:dyDescent="0.3">
      <c r="A35" s="5" t="s">
        <v>31</v>
      </c>
      <c r="B35" s="23">
        <f>L33</f>
        <v>8.9250000000000007</v>
      </c>
      <c r="C35" s="13">
        <f>J38+J40+J45+J47+J52+J54</f>
        <v>0</v>
      </c>
      <c r="D35" s="13">
        <f>M38+M40+M45+M47+M52+M54</f>
        <v>0</v>
      </c>
      <c r="E35" s="3">
        <f>D35*B35</f>
        <v>0</v>
      </c>
      <c r="F35" s="2"/>
      <c r="G35" s="22"/>
      <c r="H35" s="22"/>
    </row>
    <row r="36" spans="1:15" ht="14.5" x14ac:dyDescent="0.3">
      <c r="A36" s="5" t="s">
        <v>32</v>
      </c>
      <c r="B36" s="23">
        <f>M33</f>
        <v>8.4787499999999998</v>
      </c>
      <c r="C36" s="13">
        <f>J37+J42+J44+J49+J51+J56</f>
        <v>0</v>
      </c>
      <c r="D36" s="13">
        <f>M37+M42+M44+M49+M51+M56</f>
        <v>0</v>
      </c>
      <c r="E36" s="13">
        <f>D36*B36</f>
        <v>0</v>
      </c>
      <c r="F36" s="2"/>
      <c r="G36" s="22"/>
      <c r="H36" s="22"/>
      <c r="I36" s="1" t="s">
        <v>45</v>
      </c>
    </row>
    <row r="37" spans="1:15" ht="14.5" x14ac:dyDescent="0.3">
      <c r="A37" s="5" t="s">
        <v>1</v>
      </c>
      <c r="B37" s="2"/>
      <c r="C37" s="12">
        <f>SUM(C33:C36)</f>
        <v>0</v>
      </c>
      <c r="D37" s="12">
        <f>SUM(D33:D36)</f>
        <v>0</v>
      </c>
      <c r="E37" s="10">
        <f>SUM(E33:E36)</f>
        <v>0</v>
      </c>
      <c r="F37" s="23"/>
      <c r="G37" s="22"/>
      <c r="H37" s="14" t="s">
        <v>32</v>
      </c>
      <c r="I37" s="37">
        <f>SUM('Energy Schedule'!CO7:CO26)/4</f>
        <v>0</v>
      </c>
      <c r="J37" s="14">
        <f>I37*1000</f>
        <v>0</v>
      </c>
      <c r="K37" s="14">
        <f>J37-(J37*$B$6)</f>
        <v>0</v>
      </c>
      <c r="L37" s="14">
        <f>K37-(K37*$B$7)</f>
        <v>0</v>
      </c>
      <c r="M37" s="14">
        <f>L37-(L37*$B$8)</f>
        <v>0</v>
      </c>
    </row>
    <row r="38" spans="1:15" ht="14.5" x14ac:dyDescent="0.3">
      <c r="A38" s="5"/>
      <c r="C38" s="6"/>
      <c r="D38" s="3"/>
      <c r="E38" s="3"/>
      <c r="F38" s="3"/>
      <c r="G38" s="22"/>
      <c r="H38" s="14" t="s">
        <v>31</v>
      </c>
      <c r="I38" s="38">
        <f>SUM('Energy Schedule'!CO27:CO30)/4</f>
        <v>0</v>
      </c>
      <c r="J38" s="14">
        <f t="shared" ref="J38:J56" si="4">I38*1000</f>
        <v>0</v>
      </c>
      <c r="K38" s="14">
        <f t="shared" ref="K38:K56" si="5">J38-(J38*$B$6)</f>
        <v>0</v>
      </c>
      <c r="L38" s="14">
        <f t="shared" ref="L38:L56" si="6">K38-(K38*$B$7)</f>
        <v>0</v>
      </c>
      <c r="M38" s="14">
        <f t="shared" ref="M38:M56" si="7">L38-(L38*$B$8)</f>
        <v>0</v>
      </c>
    </row>
    <row r="39" spans="1:15" ht="14.5" x14ac:dyDescent="0.3">
      <c r="A39" s="5"/>
      <c r="B39" s="6"/>
      <c r="C39" s="6"/>
      <c r="D39" s="3"/>
      <c r="E39" s="3"/>
      <c r="F39" s="3"/>
      <c r="G39" s="22"/>
      <c r="H39" s="14" t="s">
        <v>28</v>
      </c>
      <c r="I39" s="39">
        <f>SUM('Energy Schedule'!CO31:CO46)/4</f>
        <v>0</v>
      </c>
      <c r="J39" s="14">
        <f t="shared" si="4"/>
        <v>0</v>
      </c>
      <c r="K39" s="14">
        <f t="shared" si="5"/>
        <v>0</v>
      </c>
      <c r="L39" s="14">
        <f t="shared" si="6"/>
        <v>0</v>
      </c>
      <c r="M39" s="14">
        <f t="shared" si="7"/>
        <v>0</v>
      </c>
    </row>
    <row r="40" spans="1:15" ht="14.5" x14ac:dyDescent="0.3">
      <c r="A40" s="40"/>
      <c r="D40" s="6"/>
      <c r="E40" s="6"/>
      <c r="F40" s="6"/>
      <c r="G40" s="22"/>
      <c r="H40" s="14" t="s">
        <v>31</v>
      </c>
      <c r="I40" s="38">
        <f>SUM('Energy Schedule'!CO47:CO78)/4</f>
        <v>0</v>
      </c>
      <c r="J40" s="14">
        <f t="shared" si="4"/>
        <v>0</v>
      </c>
      <c r="K40" s="14">
        <f t="shared" si="5"/>
        <v>0</v>
      </c>
      <c r="L40" s="14">
        <f t="shared" si="6"/>
        <v>0</v>
      </c>
      <c r="M40" s="14">
        <f t="shared" si="7"/>
        <v>0</v>
      </c>
    </row>
    <row r="41" spans="1:15" ht="14.5" x14ac:dyDescent="0.3">
      <c r="A41" s="40"/>
      <c r="F41" s="41"/>
      <c r="G41" s="22"/>
      <c r="H41" s="14" t="s">
        <v>29</v>
      </c>
      <c r="I41" s="38">
        <f>SUM('Energy Schedule'!CO79:CO94)/4</f>
        <v>0</v>
      </c>
      <c r="J41" s="14">
        <f t="shared" si="4"/>
        <v>0</v>
      </c>
      <c r="K41" s="14">
        <f t="shared" si="5"/>
        <v>0</v>
      </c>
      <c r="L41" s="14">
        <f t="shared" si="6"/>
        <v>0</v>
      </c>
      <c r="M41" s="14">
        <f t="shared" si="7"/>
        <v>0</v>
      </c>
    </row>
    <row r="42" spans="1:15" ht="14.5" x14ac:dyDescent="0.3">
      <c r="A42" s="47" t="s">
        <v>17</v>
      </c>
      <c r="B42" s="7">
        <f>C37</f>
        <v>0</v>
      </c>
      <c r="C42" s="1" t="s">
        <v>28</v>
      </c>
      <c r="D42" s="1">
        <v>700</v>
      </c>
      <c r="F42" s="41"/>
      <c r="G42" s="22"/>
      <c r="H42" s="14" t="s">
        <v>32</v>
      </c>
      <c r="I42" s="37">
        <f>SUM('Energy Schedule'!CO95:CO102)/4</f>
        <v>0</v>
      </c>
      <c r="J42" s="14">
        <f t="shared" si="4"/>
        <v>0</v>
      </c>
      <c r="K42" s="14">
        <f t="shared" si="5"/>
        <v>0</v>
      </c>
      <c r="L42" s="14">
        <f t="shared" si="6"/>
        <v>0</v>
      </c>
      <c r="M42" s="14">
        <f t="shared" si="7"/>
        <v>0</v>
      </c>
    </row>
    <row r="43" spans="1:15" ht="14.5" x14ac:dyDescent="0.3">
      <c r="A43" s="47" t="s">
        <v>14</v>
      </c>
      <c r="B43" s="7">
        <f>D37</f>
        <v>0</v>
      </c>
      <c r="C43" s="1" t="s">
        <v>29</v>
      </c>
      <c r="D43" s="1">
        <v>7850</v>
      </c>
      <c r="F43" s="41"/>
      <c r="G43" s="22"/>
      <c r="H43" s="14"/>
      <c r="I43" s="44" t="s">
        <v>12</v>
      </c>
      <c r="J43" s="14"/>
    </row>
    <row r="44" spans="1:15" ht="14.5" x14ac:dyDescent="0.3">
      <c r="A44" s="47" t="s">
        <v>22</v>
      </c>
      <c r="B44" s="14">
        <f>C27+D27+E27</f>
        <v>0</v>
      </c>
      <c r="C44" s="1" t="s">
        <v>30</v>
      </c>
      <c r="D44" s="1">
        <v>2000</v>
      </c>
      <c r="F44" s="41"/>
      <c r="G44" s="22"/>
      <c r="H44" s="14" t="s">
        <v>32</v>
      </c>
      <c r="I44" s="37">
        <f>SUM('Energy Schedule'!CP7:CP26)/4</f>
        <v>0</v>
      </c>
      <c r="J44" s="14">
        <f t="shared" si="4"/>
        <v>0</v>
      </c>
      <c r="K44" s="14">
        <f>J44-(J44*$B$6)</f>
        <v>0</v>
      </c>
      <c r="L44" s="14">
        <f t="shared" si="6"/>
        <v>0</v>
      </c>
      <c r="M44" s="14">
        <f t="shared" si="7"/>
        <v>0</v>
      </c>
    </row>
    <row r="45" spans="1:15" ht="14.5" x14ac:dyDescent="0.3">
      <c r="A45" s="47" t="s">
        <v>158</v>
      </c>
      <c r="B45" s="16" t="e">
        <f>B44/B43</f>
        <v>#DIV/0!</v>
      </c>
      <c r="C45" s="1" t="s">
        <v>31</v>
      </c>
      <c r="D45" s="1">
        <v>20100</v>
      </c>
      <c r="F45" s="41"/>
      <c r="G45" s="22"/>
      <c r="H45" s="14" t="s">
        <v>31</v>
      </c>
      <c r="I45" s="38">
        <f>SUM('Energy Schedule'!CP27:CP30)/4</f>
        <v>0</v>
      </c>
      <c r="J45" s="14">
        <f t="shared" si="4"/>
        <v>0</v>
      </c>
      <c r="K45" s="14">
        <f t="shared" si="5"/>
        <v>0</v>
      </c>
      <c r="L45" s="14">
        <f t="shared" si="6"/>
        <v>0</v>
      </c>
      <c r="M45" s="14">
        <f t="shared" si="7"/>
        <v>0</v>
      </c>
    </row>
    <row r="46" spans="1:15" ht="14.5" x14ac:dyDescent="0.3">
      <c r="A46" s="47" t="s">
        <v>18</v>
      </c>
      <c r="B46" s="7">
        <f>E37</f>
        <v>0</v>
      </c>
      <c r="C46" s="1" t="s">
        <v>32</v>
      </c>
      <c r="D46" s="1">
        <v>2950</v>
      </c>
      <c r="F46" s="41"/>
      <c r="G46" s="22"/>
      <c r="H46" s="14" t="s">
        <v>28</v>
      </c>
      <c r="I46" s="39">
        <f>SUM('Energy Schedule'!CP31:CP46)/4</f>
        <v>0</v>
      </c>
      <c r="J46" s="14">
        <f t="shared" si="4"/>
        <v>0</v>
      </c>
      <c r="K46" s="14">
        <f t="shared" si="5"/>
        <v>0</v>
      </c>
      <c r="L46" s="14">
        <f t="shared" si="6"/>
        <v>0</v>
      </c>
      <c r="M46" s="14">
        <f t="shared" si="7"/>
        <v>0</v>
      </c>
    </row>
    <row r="47" spans="1:15" ht="14.5" x14ac:dyDescent="0.3">
      <c r="A47" s="47" t="s">
        <v>159</v>
      </c>
      <c r="B47" s="46" t="e">
        <f>B46/B43</f>
        <v>#DIV/0!</v>
      </c>
      <c r="C47" s="42" t="s">
        <v>1</v>
      </c>
      <c r="D47" s="42">
        <f>SUM(D42:D46)</f>
        <v>33600</v>
      </c>
      <c r="E47" s="42"/>
      <c r="F47" s="43"/>
      <c r="G47" s="22"/>
      <c r="H47" s="14" t="s">
        <v>31</v>
      </c>
      <c r="I47" s="38">
        <f>SUM('Energy Schedule'!CP47:CP78)/4</f>
        <v>0</v>
      </c>
      <c r="J47" s="14">
        <f t="shared" si="4"/>
        <v>0</v>
      </c>
      <c r="K47" s="14">
        <f t="shared" si="5"/>
        <v>0</v>
      </c>
      <c r="L47" s="14">
        <f t="shared" si="6"/>
        <v>0</v>
      </c>
      <c r="M47" s="14">
        <f t="shared" si="7"/>
        <v>0</v>
      </c>
    </row>
    <row r="48" spans="1:15" ht="14.5" x14ac:dyDescent="0.3">
      <c r="A48" s="47" t="s">
        <v>19</v>
      </c>
      <c r="B48" s="7">
        <f>B46-B44</f>
        <v>0</v>
      </c>
      <c r="G48" s="22"/>
      <c r="H48" s="14" t="s">
        <v>29</v>
      </c>
      <c r="I48" s="39">
        <f>SUM('Energy Schedule'!CP79:CP94)/4</f>
        <v>0</v>
      </c>
      <c r="J48" s="14">
        <f t="shared" si="4"/>
        <v>0</v>
      </c>
      <c r="K48" s="14">
        <f t="shared" si="5"/>
        <v>0</v>
      </c>
      <c r="L48" s="14">
        <f t="shared" si="6"/>
        <v>0</v>
      </c>
      <c r="M48" s="14">
        <f t="shared" si="7"/>
        <v>0</v>
      </c>
    </row>
    <row r="49" spans="1:13" ht="14.5" x14ac:dyDescent="0.3">
      <c r="A49" s="47" t="s">
        <v>160</v>
      </c>
      <c r="B49" s="46" t="e">
        <f>B47-B45</f>
        <v>#DIV/0!</v>
      </c>
      <c r="G49" s="22"/>
      <c r="H49" s="14" t="s">
        <v>32</v>
      </c>
      <c r="I49" s="37">
        <f>SUM('Energy Schedule'!CP95:CP102)/4</f>
        <v>0</v>
      </c>
      <c r="J49" s="14">
        <f t="shared" si="4"/>
        <v>0</v>
      </c>
      <c r="K49" s="14">
        <f t="shared" si="5"/>
        <v>0</v>
      </c>
      <c r="L49" s="14">
        <f t="shared" si="6"/>
        <v>0</v>
      </c>
      <c r="M49" s="14">
        <f t="shared" si="7"/>
        <v>0</v>
      </c>
    </row>
    <row r="50" spans="1:13" ht="14.5" x14ac:dyDescent="0.3">
      <c r="G50" s="22"/>
      <c r="H50" s="14"/>
      <c r="I50" s="45" t="s">
        <v>16</v>
      </c>
      <c r="J50" s="14"/>
    </row>
    <row r="51" spans="1:13" ht="14.5" x14ac:dyDescent="0.3">
      <c r="G51" s="22"/>
      <c r="H51" s="14" t="s">
        <v>32</v>
      </c>
      <c r="I51" s="37">
        <f>SUM('Energy Schedule'!CQ7:CQ26)/4</f>
        <v>0</v>
      </c>
      <c r="J51" s="14">
        <f t="shared" si="4"/>
        <v>0</v>
      </c>
      <c r="K51" s="14">
        <f t="shared" si="5"/>
        <v>0</v>
      </c>
      <c r="L51" s="14">
        <f t="shared" si="6"/>
        <v>0</v>
      </c>
      <c r="M51" s="14">
        <f t="shared" si="7"/>
        <v>0</v>
      </c>
    </row>
    <row r="52" spans="1:13" ht="14.5" x14ac:dyDescent="0.3">
      <c r="G52" s="22"/>
      <c r="H52" s="14" t="s">
        <v>31</v>
      </c>
      <c r="I52" s="38">
        <f>SUM('Energy Schedule'!CQ27:CQ30)/4</f>
        <v>0</v>
      </c>
      <c r="J52" s="14">
        <f t="shared" si="4"/>
        <v>0</v>
      </c>
      <c r="K52" s="14">
        <f t="shared" si="5"/>
        <v>0</v>
      </c>
      <c r="L52" s="14">
        <f t="shared" si="6"/>
        <v>0</v>
      </c>
      <c r="M52" s="14">
        <f t="shared" si="7"/>
        <v>0</v>
      </c>
    </row>
    <row r="53" spans="1:13" s="9" customFormat="1" ht="14.5" x14ac:dyDescent="0.3">
      <c r="G53" s="22"/>
      <c r="H53" s="14" t="s">
        <v>28</v>
      </c>
      <c r="I53" s="39">
        <f>SUM('Energy Schedule'!CQ31:CQ46)/4</f>
        <v>0</v>
      </c>
      <c r="J53" s="14">
        <f t="shared" si="4"/>
        <v>0</v>
      </c>
      <c r="K53" s="14">
        <f t="shared" si="5"/>
        <v>0</v>
      </c>
      <c r="L53" s="14">
        <f t="shared" si="6"/>
        <v>0</v>
      </c>
      <c r="M53" s="14">
        <f t="shared" si="7"/>
        <v>0</v>
      </c>
    </row>
    <row r="54" spans="1:13" s="9" customFormat="1" ht="14.5" x14ac:dyDescent="0.3">
      <c r="G54" s="22"/>
      <c r="H54" s="14" t="s">
        <v>31</v>
      </c>
      <c r="I54" s="38">
        <f>SUM('Energy Schedule'!CQ47:CQ78)/4</f>
        <v>0</v>
      </c>
      <c r="J54" s="14">
        <f>I54*1000</f>
        <v>0</v>
      </c>
      <c r="K54" s="14">
        <f>J54-(J54*$B$6)</f>
        <v>0</v>
      </c>
      <c r="L54" s="14">
        <f t="shared" si="6"/>
        <v>0</v>
      </c>
      <c r="M54" s="14">
        <f t="shared" si="7"/>
        <v>0</v>
      </c>
    </row>
    <row r="55" spans="1:13" s="8" customFormat="1" ht="14.5" x14ac:dyDescent="0.3">
      <c r="G55" s="22"/>
      <c r="H55" s="14" t="s">
        <v>29</v>
      </c>
      <c r="I55" s="39">
        <f>SUM('Energy Schedule'!CQ79:CQ94)/4</f>
        <v>0</v>
      </c>
      <c r="J55" s="14">
        <f t="shared" si="4"/>
        <v>0</v>
      </c>
      <c r="K55" s="14">
        <f t="shared" si="5"/>
        <v>0</v>
      </c>
      <c r="L55" s="14">
        <f t="shared" si="6"/>
        <v>0</v>
      </c>
      <c r="M55" s="14">
        <f t="shared" si="7"/>
        <v>0</v>
      </c>
    </row>
    <row r="56" spans="1:13" s="8" customFormat="1" ht="14.5" x14ac:dyDescent="0.3">
      <c r="G56" s="22"/>
      <c r="H56" s="14" t="s">
        <v>32</v>
      </c>
      <c r="I56" s="37">
        <f>SUM('Energy Schedule'!CQ95:CQ102)/4</f>
        <v>0</v>
      </c>
      <c r="J56" s="14">
        <f t="shared" si="4"/>
        <v>0</v>
      </c>
      <c r="K56" s="14">
        <f t="shared" si="5"/>
        <v>0</v>
      </c>
      <c r="L56" s="14">
        <f t="shared" si="6"/>
        <v>0</v>
      </c>
      <c r="M56" s="14">
        <f t="shared" si="7"/>
        <v>0</v>
      </c>
    </row>
    <row r="57" spans="1:13" s="8" customFormat="1" ht="14.5" x14ac:dyDescent="0.3">
      <c r="G57" s="22"/>
      <c r="H57" s="22"/>
      <c r="J57" s="9"/>
      <c r="K57" s="9"/>
      <c r="L57" s="9"/>
    </row>
    <row r="58" spans="1:13" s="8" customFormat="1" ht="14.5" x14ac:dyDescent="0.3">
      <c r="G58" s="22"/>
      <c r="H58" s="22"/>
    </row>
    <row r="59" spans="1:13" s="8" customFormat="1" ht="14.5" x14ac:dyDescent="0.3">
      <c r="G59" s="22"/>
      <c r="H59" s="22"/>
    </row>
    <row r="60" spans="1:13" s="8" customFormat="1" ht="14.5" x14ac:dyDescent="0.3">
      <c r="G60" s="22"/>
      <c r="H60" s="22"/>
    </row>
    <row r="61" spans="1:13" s="8" customFormat="1" ht="14.5" x14ac:dyDescent="0.3">
      <c r="A61" s="9"/>
      <c r="B61" s="9"/>
      <c r="C61" s="9"/>
      <c r="D61" s="9"/>
      <c r="G61" s="22"/>
      <c r="H61" s="22"/>
    </row>
    <row r="62" spans="1:13" s="9" customFormat="1" ht="14.5" x14ac:dyDescent="0.3">
      <c r="G62" s="22"/>
      <c r="H62" s="22"/>
    </row>
    <row r="63" spans="1:13" ht="14.5" x14ac:dyDescent="0.3">
      <c r="G63" s="22"/>
      <c r="H63" s="22"/>
    </row>
    <row r="64" spans="1:13" ht="14.5" x14ac:dyDescent="0.3">
      <c r="G64" s="22"/>
      <c r="H64" s="22"/>
    </row>
    <row r="65" spans="7:8" ht="14.5" x14ac:dyDescent="0.3">
      <c r="G65" s="22"/>
      <c r="H65" s="22"/>
    </row>
    <row r="66" spans="7:8" ht="14.5" x14ac:dyDescent="0.3">
      <c r="G66" s="22"/>
      <c r="H66" s="22"/>
    </row>
    <row r="67" spans="7:8" ht="14.5" x14ac:dyDescent="0.3">
      <c r="G67" s="22"/>
      <c r="H67" s="22"/>
    </row>
    <row r="68" spans="7:8" ht="14.5" x14ac:dyDescent="0.3">
      <c r="G68" s="22"/>
      <c r="H68" s="22"/>
    </row>
    <row r="69" spans="7:8" ht="14.5" x14ac:dyDescent="0.3">
      <c r="G69" s="22"/>
      <c r="H69" s="22"/>
    </row>
    <row r="70" spans="7:8" ht="14.5" x14ac:dyDescent="0.3">
      <c r="G70" s="22"/>
      <c r="H70" s="22"/>
    </row>
    <row r="71" spans="7:8" ht="14.5" x14ac:dyDescent="0.3">
      <c r="G71" s="22"/>
      <c r="H71" s="22"/>
    </row>
    <row r="72" spans="7:8" ht="14.5" x14ac:dyDescent="0.3">
      <c r="G72" s="22"/>
      <c r="H72" s="22"/>
    </row>
    <row r="73" spans="7:8" ht="14.5" x14ac:dyDescent="0.3">
      <c r="G73" s="22"/>
      <c r="H73" s="22"/>
    </row>
    <row r="74" spans="7:8" ht="14.5" x14ac:dyDescent="0.3">
      <c r="G74" s="22"/>
      <c r="H74" s="22"/>
    </row>
    <row r="75" spans="7:8" ht="14.5" x14ac:dyDescent="0.3">
      <c r="G75" s="22"/>
      <c r="H75" s="22"/>
    </row>
    <row r="76" spans="7:8" ht="14.5" x14ac:dyDescent="0.3">
      <c r="G76" s="22"/>
      <c r="H76" s="22"/>
    </row>
    <row r="77" spans="7:8" ht="14.5" x14ac:dyDescent="0.3">
      <c r="G77" s="22"/>
      <c r="H77" s="22"/>
    </row>
    <row r="78" spans="7:8" ht="14.5" x14ac:dyDescent="0.3">
      <c r="G78" s="22"/>
      <c r="H78" s="22"/>
    </row>
    <row r="79" spans="7:8" ht="14.5" x14ac:dyDescent="0.3">
      <c r="G79" s="22"/>
      <c r="H79" s="22"/>
    </row>
    <row r="80" spans="7:8" ht="14.5" x14ac:dyDescent="0.3">
      <c r="G80" s="22"/>
      <c r="H80" s="22"/>
    </row>
    <row r="81" spans="7:8" ht="14.5" x14ac:dyDescent="0.3">
      <c r="G81" s="22"/>
      <c r="H81" s="22"/>
    </row>
    <row r="82" spans="7:8" ht="14.5" x14ac:dyDescent="0.3">
      <c r="G82" s="22"/>
      <c r="H82" s="22"/>
    </row>
    <row r="83" spans="7:8" ht="14.5" x14ac:dyDescent="0.3">
      <c r="G83" s="22"/>
      <c r="H83" s="22"/>
    </row>
    <row r="84" spans="7:8" ht="14.5" x14ac:dyDescent="0.3">
      <c r="G84" s="22"/>
      <c r="H84" s="22"/>
    </row>
    <row r="85" spans="7:8" ht="14.5" x14ac:dyDescent="0.3">
      <c r="G85" s="22"/>
      <c r="H85" s="22"/>
    </row>
    <row r="86" spans="7:8" ht="14.5" x14ac:dyDescent="0.3">
      <c r="G86" s="22"/>
      <c r="H86" s="22"/>
    </row>
    <row r="87" spans="7:8" ht="14.5" x14ac:dyDescent="0.3">
      <c r="G87" s="22"/>
      <c r="H87" s="22"/>
    </row>
    <row r="88" spans="7:8" ht="14.5" x14ac:dyDescent="0.3">
      <c r="G88" s="22"/>
      <c r="H88" s="22"/>
    </row>
    <row r="89" spans="7:8" ht="14.5" x14ac:dyDescent="0.3">
      <c r="G89" s="22"/>
      <c r="H89" s="22"/>
    </row>
    <row r="90" spans="7:8" ht="14.5" x14ac:dyDescent="0.3">
      <c r="G90" s="22"/>
      <c r="H90" s="22"/>
    </row>
    <row r="91" spans="7:8" ht="14.5" x14ac:dyDescent="0.3">
      <c r="G91" s="22"/>
      <c r="H91" s="22"/>
    </row>
    <row r="92" spans="7:8" ht="14.5" x14ac:dyDescent="0.3">
      <c r="G92" s="22"/>
      <c r="H92" s="22"/>
    </row>
    <row r="93" spans="7:8" ht="14.5" x14ac:dyDescent="0.3">
      <c r="G93" s="22"/>
      <c r="H93" s="22"/>
    </row>
    <row r="94" spans="7:8" ht="14.5" x14ac:dyDescent="0.3">
      <c r="G94" s="22"/>
      <c r="H94" s="22"/>
    </row>
    <row r="95" spans="7:8" ht="14.5" x14ac:dyDescent="0.3">
      <c r="G95" s="22"/>
      <c r="H95" s="22"/>
    </row>
    <row r="96" spans="7:8" ht="14.5" x14ac:dyDescent="0.3">
      <c r="G96" s="22"/>
      <c r="H96" s="22"/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</sheetData>
  <mergeCells count="1">
    <mergeCell ref="I29:I3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4EAA-6B07-4935-A983-A97E2024FC36}">
  <dimension ref="A1:C19"/>
  <sheetViews>
    <sheetView tabSelected="1" zoomScale="90" zoomScaleNormal="90" workbookViewId="0">
      <selection activeCell="C18" sqref="C18"/>
    </sheetView>
  </sheetViews>
  <sheetFormatPr defaultRowHeight="13" x14ac:dyDescent="0.3"/>
  <cols>
    <col min="1" max="1" width="28.36328125" style="1" bestFit="1" customWidth="1"/>
    <col min="2" max="2" width="8.26953125" style="1" bestFit="1" customWidth="1"/>
    <col min="3" max="16384" width="8.7265625" style="1"/>
  </cols>
  <sheetData>
    <row r="1" spans="1:2" x14ac:dyDescent="0.3">
      <c r="A1" s="40" t="s">
        <v>48</v>
      </c>
      <c r="B1" s="67">
        <v>2.3400000000000001E-2</v>
      </c>
    </row>
    <row r="2" spans="1:2" x14ac:dyDescent="0.3">
      <c r="A2" s="40" t="s">
        <v>49</v>
      </c>
      <c r="B2" s="67">
        <v>1.95E-2</v>
      </c>
    </row>
    <row r="3" spans="1:2" x14ac:dyDescent="0.3">
      <c r="A3" s="40" t="s">
        <v>50</v>
      </c>
      <c r="B3" s="41"/>
    </row>
    <row r="4" spans="1:2" x14ac:dyDescent="0.3">
      <c r="A4" s="40" t="s">
        <v>51</v>
      </c>
      <c r="B4" s="41"/>
    </row>
    <row r="5" spans="1:2" x14ac:dyDescent="0.3">
      <c r="A5" s="40" t="s">
        <v>6</v>
      </c>
      <c r="B5" s="77">
        <v>0.02</v>
      </c>
    </row>
    <row r="6" spans="1:2" x14ac:dyDescent="0.3">
      <c r="A6" s="40" t="s">
        <v>52</v>
      </c>
      <c r="B6" s="77"/>
    </row>
    <row r="7" spans="1:2" x14ac:dyDescent="0.3">
      <c r="A7" s="40" t="s">
        <v>53</v>
      </c>
      <c r="B7" s="77">
        <v>457.6</v>
      </c>
    </row>
    <row r="8" spans="1:2" x14ac:dyDescent="0.3">
      <c r="A8" s="40" t="s">
        <v>7</v>
      </c>
      <c r="B8" s="64">
        <v>1</v>
      </c>
    </row>
    <row r="9" spans="1:2" x14ac:dyDescent="0.3">
      <c r="A9" s="40" t="s">
        <v>8</v>
      </c>
      <c r="B9" s="77">
        <v>260</v>
      </c>
    </row>
    <row r="10" spans="1:2" x14ac:dyDescent="0.3">
      <c r="A10" s="40" t="s">
        <v>9</v>
      </c>
      <c r="B10" s="41">
        <v>170</v>
      </c>
    </row>
    <row r="11" spans="1:2" x14ac:dyDescent="0.3">
      <c r="A11" s="40" t="s">
        <v>54</v>
      </c>
      <c r="B11" s="64">
        <v>33.74</v>
      </c>
    </row>
    <row r="12" spans="1:2" x14ac:dyDescent="0.3">
      <c r="A12" s="40" t="s">
        <v>172</v>
      </c>
      <c r="B12" s="64">
        <v>0.02</v>
      </c>
    </row>
    <row r="13" spans="1:2" x14ac:dyDescent="0.3">
      <c r="A13" s="40" t="s">
        <v>2</v>
      </c>
      <c r="B13" s="64">
        <v>1.99</v>
      </c>
    </row>
    <row r="14" spans="1:2" x14ac:dyDescent="0.3">
      <c r="A14" s="40" t="s">
        <v>3</v>
      </c>
      <c r="B14" s="64">
        <v>0</v>
      </c>
    </row>
    <row r="15" spans="1:2" x14ac:dyDescent="0.3">
      <c r="A15" s="40" t="s">
        <v>4</v>
      </c>
      <c r="B15" s="64">
        <v>1.04</v>
      </c>
    </row>
    <row r="16" spans="1:2" x14ac:dyDescent="0.3">
      <c r="A16" s="40" t="s">
        <v>43</v>
      </c>
      <c r="B16" s="77">
        <v>0</v>
      </c>
    </row>
    <row r="17" spans="1:3" x14ac:dyDescent="0.3">
      <c r="A17" s="40" t="s">
        <v>5</v>
      </c>
      <c r="B17" s="77">
        <v>0.12</v>
      </c>
      <c r="C17" s="1" t="s">
        <v>173</v>
      </c>
    </row>
    <row r="18" spans="1:3" ht="13.5" thickBot="1" x14ac:dyDescent="0.35">
      <c r="A18" s="53" t="s">
        <v>57</v>
      </c>
      <c r="B18" s="78">
        <v>0.12</v>
      </c>
      <c r="C18" s="1" t="s">
        <v>173</v>
      </c>
    </row>
    <row r="19" spans="1:3" ht="13.5" thickTop="1" x14ac:dyDescent="0.3"/>
  </sheetData>
  <pageMargins left="0.7" right="0.7" top="0.75" bottom="0.75" header="0.3" footer="0.3"/>
  <pageSetup paperSize="9" orientation="portrait" horizontalDpi="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Energy Schedule</vt:lpstr>
      <vt:lpstr>Savings Sheet</vt:lpstr>
      <vt:lpstr>Slot Wise Consolidate</vt:lpstr>
      <vt:lpstr>Consumption Details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TNEB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Veeraganapathy</dc:creator>
  <cp:lastModifiedBy>VEERAGANAPATHY V</cp:lastModifiedBy>
  <cp:lastPrinted>2021-04-30T16:40:58Z</cp:lastPrinted>
  <dcterms:created xsi:type="dcterms:W3CDTF">2015-06-05T18:17:20Z</dcterms:created>
  <dcterms:modified xsi:type="dcterms:W3CDTF">2026-01-14T05:08:16Z</dcterms:modified>
</cp:coreProperties>
</file>